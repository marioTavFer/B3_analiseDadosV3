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\B3_data\econdata\Ibov\B3-relatorioDadosMercado\"/>
    </mc:Choice>
  </mc:AlternateContent>
  <xr:revisionPtr revIDLastSave="0" documentId="13_ncr:1_{5B0C64F2-F326-4ED5-91B5-85353F2A992B}" xr6:coauthVersionLast="47" xr6:coauthVersionMax="47" xr10:uidLastSave="{00000000-0000-0000-0000-000000000000}"/>
  <bookViews>
    <workbookView xWindow="3675" yWindow="-13200" windowWidth="21600" windowHeight="11295" tabRatio="816" xr2:uid="{2510612F-EE61-4F70-9AF4-581CA8D54BB3}"/>
  </bookViews>
  <sheets>
    <sheet name="01_DadosNegocVolumeTotal" sheetId="2" r:id="rId1"/>
    <sheet name="02-VolumeMedioDiario" sheetId="3" r:id="rId2"/>
    <sheet name="03-NdeNegociosTotal" sheetId="4" r:id="rId3"/>
    <sheet name="04-NdeNegociosMedioDiario" sheetId="5" r:id="rId4"/>
    <sheet name="05-FatiaDeInvestidores-mesAmes" sheetId="6" r:id="rId5"/>
    <sheet name="06-MovInvestEstrangeirosMensal-" sheetId="7" r:id="rId6"/>
    <sheet name="Planilha1" sheetId="1" r:id="rId7"/>
  </sheets>
  <definedNames>
    <definedName name="DadosExternos_1" localSheetId="0" hidden="1">'01_DadosNegocVolumeTotal'!$A$1:$F$7</definedName>
    <definedName name="DadosExternos_1" localSheetId="1" hidden="1">'02-VolumeMedioDiario'!$A$1:$E$7</definedName>
    <definedName name="DadosExternos_1" localSheetId="2" hidden="1">'03-NdeNegociosTotal'!$A$1:$F$7</definedName>
    <definedName name="DadosExternos_1" localSheetId="3" hidden="1">'04-NdeNegociosMedioDiario'!$A$1:$C$7</definedName>
    <definedName name="DadosExternos_1" localSheetId="4" hidden="1">'05-FatiaDeInvestidores-mesAmes'!$A$1:$F$11</definedName>
    <definedName name="DadosExternos_1" localSheetId="5" hidden="1">'06-MovInvestEstrangeirosMensal-'!$A$1:$E$26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7" l="1"/>
  <c r="G25" i="7"/>
  <c r="G24" i="7"/>
  <c r="G23" i="7"/>
  <c r="G22" i="7"/>
  <c r="G21" i="7"/>
  <c r="G20" i="7"/>
  <c r="G19" i="7"/>
  <c r="G18" i="7"/>
  <c r="G26" i="7"/>
  <c r="I16" i="7"/>
  <c r="I14" i="7"/>
  <c r="I12" i="7"/>
  <c r="I11" i="7"/>
  <c r="I10" i="7"/>
  <c r="I9" i="7"/>
  <c r="I8" i="7"/>
  <c r="I7" i="7"/>
  <c r="I6" i="7"/>
  <c r="I5" i="7"/>
  <c r="I4" i="7"/>
  <c r="I13" i="7"/>
  <c r="H1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17813E-BFDE-44BA-AC0C-D677C536C2ED}" keepAlive="1" name="Consulta - 01_DadosNegocVolumeTotal" description="Conexão com a consulta '01_DadosNegocVolumeTotal' na pasta de trabalho." type="5" refreshedVersion="8" background="1" saveData="1">
    <dbPr connection="Provider=Microsoft.Mashup.OleDb.1;Data Source=$Workbook$;Location=01_DadosNegocVolumeTotal;Extended Properties=&quot;&quot;" command="SELECT * FROM [01_DadosNegocVolumeTotal]"/>
  </connection>
  <connection id="2" xr16:uid="{5C6F8A53-7E8A-4C49-A6BC-ABCD381872E4}" keepAlive="1" name="Consulta - 02-VolumeMedioDiario" description="Conexão com a consulta '02-VolumeMedioDiario' na pasta de trabalho." type="5" refreshedVersion="8" background="1" saveData="1">
    <dbPr connection="Provider=Microsoft.Mashup.OleDb.1;Data Source=$Workbook$;Location=02-VolumeMedioDiario;Extended Properties=&quot;&quot;" command="SELECT * FROM [02-VolumeMedioDiario]"/>
  </connection>
  <connection id="3" xr16:uid="{F749D10E-686F-4B54-B1F7-54996E4E57F7}" keepAlive="1" name="Consulta - 03-NdeNegociosTotal" description="Conexão com a consulta '03-NdeNegociosTotal' na pasta de trabalho." type="5" refreshedVersion="8" background="1" saveData="1">
    <dbPr connection="Provider=Microsoft.Mashup.OleDb.1;Data Source=$Workbook$;Location=03-NdeNegociosTotal;Extended Properties=&quot;&quot;" command="SELECT * FROM [03-NdeNegociosTotal]"/>
  </connection>
  <connection id="4" xr16:uid="{08801123-2B63-4591-8B10-B9AEED203F34}" keepAlive="1" name="Consulta - 04-NdeNegociosMedioDiario" description="Conexão com a consulta '04-NdeNegociosMedioDiario' na pasta de trabalho." type="5" refreshedVersion="8" background="1" saveData="1">
    <dbPr connection="Provider=Microsoft.Mashup.OleDb.1;Data Source=$Workbook$;Location=04-NdeNegociosMedioDiario;Extended Properties=&quot;&quot;" command="SELECT * FROM [04-NdeNegociosMedioDiario]"/>
  </connection>
  <connection id="5" xr16:uid="{869AC2EB-C714-409F-BE6B-008E1601E24D}" keepAlive="1" name="Consulta - 05-FatiaDeInvestidores-mesAmes" description="Conexão com a consulta '05-FatiaDeInvestidores-mesAmes' na pasta de trabalho." type="5" refreshedVersion="8" background="1" saveData="1">
    <dbPr connection="Provider=Microsoft.Mashup.OleDb.1;Data Source=$Workbook$;Location=05-FatiaDeInvestidores-mesAmes;Extended Properties=&quot;&quot;" command="SELECT * FROM [05-FatiaDeInvestidores-mesAmes]"/>
  </connection>
  <connection id="6" xr16:uid="{E6CAC251-9532-4996-A855-85DA5855D833}" keepAlive="1" name="Consulta - 06-MovInvestEstrangeirosMensal-RMilhoes" description="Conexão com a consulta '06-MovInvestEstrangeirosMensal-RMilhoes' na pasta de trabalho." type="5" refreshedVersion="8" background="1" saveData="1">
    <dbPr connection="Provider=Microsoft.Mashup.OleDb.1;Data Source=$Workbook$;Location=06-MovInvestEstrangeirosMensal-RMilhoes;Extended Properties=&quot;&quot;" command="SELECT * FROM [06-MovInvestEstrangeirosMensal-RMilhoes]"/>
  </connection>
</connections>
</file>

<file path=xl/sharedStrings.xml><?xml version="1.0" encoding="utf-8"?>
<sst xmlns="http://schemas.openxmlformats.org/spreadsheetml/2006/main" count="61" uniqueCount="47">
  <si>
    <t>Mes-Anos</t>
  </si>
  <si>
    <t>VolavistaRmilhao</t>
  </si>
  <si>
    <t>Termo</t>
  </si>
  <si>
    <t>Opcoes</t>
  </si>
  <si>
    <t>EmBloco</t>
  </si>
  <si>
    <t>VolumeTotalRmilhao</t>
  </si>
  <si>
    <t>202601</t>
  </si>
  <si>
    <t>202602</t>
  </si>
  <si>
    <t>2026f0211</t>
  </si>
  <si>
    <t>2025</t>
  </si>
  <si>
    <t>2024</t>
  </si>
  <si>
    <t>2023</t>
  </si>
  <si>
    <t>VolMedDiarioRmilhao</t>
  </si>
  <si>
    <t>Variacao%</t>
  </si>
  <si>
    <t>USmilhao</t>
  </si>
  <si>
    <t>Variacao%_1</t>
  </si>
  <si>
    <t>NumNegocios-avista</t>
  </si>
  <si>
    <t>NumNegociosTotal</t>
  </si>
  <si>
    <t>NegociosMedioDiario</t>
  </si>
  <si>
    <t>PessFisicasClubInvest</t>
  </si>
  <si>
    <t>Institucionais</t>
  </si>
  <si>
    <t>Estrangeiro</t>
  </si>
  <si>
    <t>InstFinanc</t>
  </si>
  <si>
    <t>EmpPublicasPrivadasOutros</t>
  </si>
  <si>
    <t>Compras(A)</t>
  </si>
  <si>
    <t>Vendas(B)</t>
  </si>
  <si>
    <t>IPO(C)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</si>
  <si>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</si>
  <si>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</si>
  <si>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</si>
  <si>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</si>
  <si>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</si>
  <si>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</si>
  <si>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</si>
  <si>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</si>
  <si>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</si>
  <si>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</si>
  <si>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202512</t>
  </si>
  <si>
    <t>20260210</t>
  </si>
  <si>
    <t>2022</t>
  </si>
  <si>
    <t>2021</t>
  </si>
  <si>
    <t>2020</t>
  </si>
  <si>
    <t>2019</t>
  </si>
  <si>
    <t>2018</t>
  </si>
  <si>
    <t>2017</t>
  </si>
  <si>
    <t>2016</t>
  </si>
  <si>
    <t>A+C-B(Saldo)Rmilhoes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</si>
</sst>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000000"/>
    <numFmt numFmtId="165" formatCode="#,##0.0000000000"/>
    <numFmt numFmtId="166" formatCode="#,##0.0"/>
    <numFmt numFmtId="167" formatCode="0.000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2" borderId="2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0" fontId="0" fillId="2" borderId="5" xfId="0" applyFill="1" applyBorder="1"/>
    <xf numFmtId="164" fontId="0" fillId="2" borderId="1" xfId="0" applyNumberFormat="1" applyFill="1" applyBorder="1"/>
    <xf numFmtId="164" fontId="0" fillId="2" borderId="6" xfId="0" applyNumberFormat="1" applyFill="1" applyBorder="1"/>
    <xf numFmtId="0" fontId="0" fillId="2" borderId="7" xfId="0" applyFill="1" applyBorder="1"/>
    <xf numFmtId="164" fontId="0" fillId="2" borderId="8" xfId="0" applyNumberFormat="1" applyFill="1" applyBorder="1"/>
    <xf numFmtId="164" fontId="0" fillId="2" borderId="9" xfId="0" applyNumberFormat="1" applyFill="1" applyBorder="1"/>
    <xf numFmtId="0" fontId="1" fillId="0" borderId="0" xfId="0" applyFont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165" fontId="0" fillId="2" borderId="1" xfId="0" applyNumberFormat="1" applyFill="1" applyBorder="1"/>
    <xf numFmtId="165" fontId="0" fillId="2" borderId="8" xfId="0" applyNumberFormat="1" applyFill="1" applyBorder="1"/>
    <xf numFmtId="3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Fill="1"/>
    <xf numFmtId="0" fontId="0" fillId="0" borderId="0" xfId="0" applyFill="1"/>
    <xf numFmtId="0" fontId="1" fillId="0" borderId="2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0" fillId="0" borderId="5" xfId="0" applyFill="1" applyBorder="1"/>
    <xf numFmtId="3" fontId="0" fillId="0" borderId="1" xfId="0" applyNumberFormat="1" applyFill="1" applyBorder="1"/>
    <xf numFmtId="3" fontId="0" fillId="0" borderId="6" xfId="0" applyNumberFormat="1" applyFill="1" applyBorder="1"/>
    <xf numFmtId="0" fontId="0" fillId="0" borderId="7" xfId="0" applyFill="1" applyBorder="1"/>
    <xf numFmtId="3" fontId="0" fillId="0" borderId="8" xfId="0" applyNumberFormat="1" applyFill="1" applyBorder="1"/>
    <xf numFmtId="3" fontId="0" fillId="0" borderId="9" xfId="0" applyNumberFormat="1" applyFill="1" applyBorder="1"/>
    <xf numFmtId="167" fontId="0" fillId="0" borderId="0" xfId="0" applyNumberFormat="1"/>
    <xf numFmtId="167" fontId="0" fillId="2" borderId="6" xfId="0" applyNumberFormat="1" applyFill="1" applyBorder="1"/>
    <xf numFmtId="167" fontId="0" fillId="2" borderId="9" xfId="0" applyNumberFormat="1" applyFill="1" applyBorder="1"/>
    <xf numFmtId="167" fontId="0" fillId="2" borderId="1" xfId="0" applyNumberFormat="1" applyFill="1" applyBorder="1"/>
    <xf numFmtId="167" fontId="0" fillId="2" borderId="8" xfId="0" applyNumberFormat="1" applyFill="1" applyBorder="1"/>
  </cellXfs>
  <cellStyles count="1">
    <cellStyle name="Normal" xfId="0" builtinId="0"/>
  </cellStyles>
  <dxfs count="46">
    <dxf>
      <numFmt numFmtId="167" formatCode="0.00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0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0" formatCode="General"/>
    </dxf>
    <dxf>
      <numFmt numFmtId="3" formatCode="#,##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numFmt numFmtId="165" formatCode="#,##0.00000000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.00000000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#,##0.000000000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000000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000000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000000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000000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4E5A35E-9CB5-4B18-BD52-0369330C194A}" autoFormatId="16" applyNumberFormats="0" applyBorderFormats="0" applyFontFormats="0" applyPatternFormats="0" applyAlignmentFormats="0" applyWidthHeightFormats="0">
  <queryTableRefresh nextId="7">
    <queryTableFields count="6">
      <queryTableField id="1" name="Mes-Anos" tableColumnId="1"/>
      <queryTableField id="2" name="VolavistaRmilhao" tableColumnId="2"/>
      <queryTableField id="3" name="Termo" tableColumnId="3"/>
      <queryTableField id="4" name="Opcoes" tableColumnId="4"/>
      <queryTableField id="5" name="EmBloco" tableColumnId="5"/>
      <queryTableField id="6" name="VolumeTotalRmilhao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96C4ECC2-CE2C-4391-8468-C8FACBC56187}" autoFormatId="16" applyNumberFormats="0" applyBorderFormats="0" applyFontFormats="0" applyPatternFormats="0" applyAlignmentFormats="0" applyWidthHeightFormats="0">
  <queryTableRefresh nextId="6">
    <queryTableFields count="5">
      <queryTableField id="1" name="Mes-Anos" tableColumnId="1"/>
      <queryTableField id="2" name="VolMedDiarioRmilhao" tableColumnId="2"/>
      <queryTableField id="3" name="Variacao%" tableColumnId="3"/>
      <queryTableField id="4" name="USmilhao" tableColumnId="4"/>
      <queryTableField id="5" name="Variacao%_1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DF593BCF-B77E-4430-89FE-7A01A25FCABA}" autoFormatId="16" applyNumberFormats="0" applyBorderFormats="0" applyFontFormats="0" applyPatternFormats="0" applyAlignmentFormats="0" applyWidthHeightFormats="0">
  <queryTableRefresh nextId="7">
    <queryTableFields count="6">
      <queryTableField id="1" name="Mes-Anos" tableColumnId="1"/>
      <queryTableField id="2" name="NumNegocios-avista" tableColumnId="2"/>
      <queryTableField id="3" name="Termo" tableColumnId="3"/>
      <queryTableField id="4" name="Opcoes" tableColumnId="4"/>
      <queryTableField id="5" name="EmBloco" tableColumnId="5"/>
      <queryTableField id="6" name="NumNegociosTotal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87180DE7-A242-4D15-8F55-CAF3E1D01820}" autoFormatId="16" applyNumberFormats="0" applyBorderFormats="0" applyFontFormats="0" applyPatternFormats="0" applyAlignmentFormats="0" applyWidthHeightFormats="0">
  <queryTableRefresh nextId="4">
    <queryTableFields count="3">
      <queryTableField id="1" name="Mes-Anos" tableColumnId="1"/>
      <queryTableField id="2" name="NegociosMedioDiario" tableColumnId="2"/>
      <queryTableField id="3" name="Variacao%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DC75F138-D89E-442A-B36E-2EAFFDEA7892}" autoFormatId="16" applyNumberFormats="0" applyBorderFormats="0" applyFontFormats="0" applyPatternFormats="0" applyAlignmentFormats="0" applyWidthHeightFormats="0">
  <queryTableRefresh nextId="7">
    <queryTableFields count="6">
      <queryTableField id="1" name="Mes-Anos" tableColumnId="1"/>
      <queryTableField id="2" name="PessFisicasClubInvest" tableColumnId="2"/>
      <queryTableField id="3" name="Institucionais" tableColumnId="3"/>
      <queryTableField id="4" name="Estrangeiro" tableColumnId="4"/>
      <queryTableField id="5" name="InstFinanc" tableColumnId="5"/>
      <queryTableField id="6" name="EmpPublicasPrivadasOutros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B2FCDBB0-B6B3-4DB3-9ABE-D99E39E916E2}" autoFormatId="16" applyNumberFormats="0" applyBorderFormats="0" applyFontFormats="0" applyPatternFormats="0" applyAlignmentFormats="0" applyWidthHeightFormats="0">
  <queryTableRefresh nextId="6">
    <queryTableFields count="5">
      <queryTableField id="1" name="Mes-Anos" tableColumnId="1"/>
      <queryTableField id="2" name="Compras(A)" tableColumnId="2"/>
      <queryTableField id="3" name="Vendas(B)" tableColumnId="3"/>
      <queryTableField id="4" name="IPO(C)" tableColumnId="4"/>
      <queryTableField id="5" name="A+C-B(Saldo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907EAC-BB25-41A8-9881-05B3E3E3D17A}" name="_01_DadosNegocVolumeTotal" displayName="_01_DadosNegocVolumeTotal" ref="A1:F7" tableType="queryTable" totalsRowShown="0" headerRowDxfId="45" dataDxfId="43" headerRowBorderDxfId="44" tableBorderDxfId="42" totalsRowBorderDxfId="41">
  <tableColumns count="6">
    <tableColumn id="1" xr3:uid="{D829906E-15B6-4074-81C3-B79EFE88F18E}" uniqueName="1" name="Mes-Anos" queryTableFieldId="1" dataDxfId="40"/>
    <tableColumn id="2" xr3:uid="{9EABC91A-9E17-44C0-B5F3-5C8FCFA394AB}" uniqueName="2" name="VolavistaRmilhao" queryTableFieldId="2" dataDxfId="39"/>
    <tableColumn id="3" xr3:uid="{CF29CC6E-1186-4142-B76F-C4899E92F316}" uniqueName="3" name="Termo" queryTableFieldId="3" dataDxfId="38"/>
    <tableColumn id="4" xr3:uid="{F637854B-B583-4A69-8516-3273845E887C}" uniqueName="4" name="Opcoes" queryTableFieldId="4" dataDxfId="37"/>
    <tableColumn id="5" xr3:uid="{3AB6903A-A536-4BE5-A119-BDD80CDE2C51}" uniqueName="5" name="EmBloco" queryTableFieldId="5" dataDxfId="36"/>
    <tableColumn id="6" xr3:uid="{9A074EFB-4647-4DCB-9555-BF16207B85AB}" uniqueName="6" name="VolumeTotalRmilhao" queryTableFieldId="6" dataDxfId="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11A530-B655-4C81-92A6-ADCFC56B3C41}" name="_02_VolumeMedioDiario" displayName="_02_VolumeMedioDiario" ref="A1:E7" tableType="queryTable" totalsRowShown="0" headerRowDxfId="34" dataDxfId="32" headerRowBorderDxfId="33" tableBorderDxfId="31" totalsRowBorderDxfId="30">
  <tableColumns count="5">
    <tableColumn id="1" xr3:uid="{AF40589F-FE0A-4063-A1E4-99FCA0FC93BA}" uniqueName="1" name="Mes-Anos" queryTableFieldId="1" dataDxfId="29"/>
    <tableColumn id="2" xr3:uid="{5DAEA4BF-1837-4A68-A2B1-C221650B5458}" uniqueName="2" name="VolMedDiarioRmilhao" queryTableFieldId="2" dataDxfId="28"/>
    <tableColumn id="3" xr3:uid="{04FDCE31-20CC-48B8-A2AF-D786AD850D6C}" uniqueName="3" name="Variacao%" queryTableFieldId="3" dataDxfId="0"/>
    <tableColumn id="4" xr3:uid="{1D5B822F-F584-45A1-8311-7201E273B040}" uniqueName="4" name="USmilhao" queryTableFieldId="4" dataDxfId="27"/>
    <tableColumn id="5" xr3:uid="{E3155248-0693-4756-9065-C69A2FC4B2B8}" uniqueName="5" name="Variacao%_1" queryTableFieldId="5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9BFC8A-8118-4062-B436-1B6BF310B890}" name="_03_NdeNegociosTotal" displayName="_03_NdeNegociosTotal" ref="A1:F7" tableType="queryTable" totalsRowShown="0" headerRowDxfId="10" dataDxfId="9" headerRowBorderDxfId="26" tableBorderDxfId="25" totalsRowBorderDxfId="24">
  <tableColumns count="6">
    <tableColumn id="1" xr3:uid="{AC217CCD-76CF-4CE0-9C95-77BD927E91E3}" uniqueName="1" name="Mes-Anos" queryTableFieldId="1" dataDxfId="16"/>
    <tableColumn id="2" xr3:uid="{7B826A70-998D-4A29-8495-51A1C7BC2925}" uniqueName="2" name="NumNegocios-avista" queryTableFieldId="2" dataDxfId="15"/>
    <tableColumn id="3" xr3:uid="{2F822B83-4CDB-4BE0-AB44-C6375D8514A5}" uniqueName="3" name="Termo" queryTableFieldId="3" dataDxfId="14"/>
    <tableColumn id="4" xr3:uid="{3D2105FB-1965-4549-B2F6-176F8FA6668F}" uniqueName="4" name="Opcoes" queryTableFieldId="4" dataDxfId="13"/>
    <tableColumn id="5" xr3:uid="{DC897F30-2B65-4782-8195-CCB85BA1C92A}" uniqueName="5" name="EmBloco" queryTableFieldId="5" dataDxfId="12"/>
    <tableColumn id="6" xr3:uid="{8D6500EC-6579-4A4E-993E-4E8FB84ECA14}" uniqueName="6" name="NumNegociosTotal" queryTableFieldId="6" dataDxfId="1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5E7857-5EF0-4861-91AA-083EC0DC5770}" name="_04_NdeNegociosMedioDiario" displayName="_04_NdeNegociosMedioDiario" ref="A1:C7" tableType="queryTable" totalsRowShown="0">
  <tableColumns count="3">
    <tableColumn id="1" xr3:uid="{F25CDABB-865A-4018-A45A-34CD367D97FF}" uniqueName="1" name="Mes-Anos" queryTableFieldId="1"/>
    <tableColumn id="2" xr3:uid="{90B26534-E0C6-4921-8026-8127BCA9D53B}" uniqueName="2" name="NegociosMedioDiario" queryTableFieldId="2" dataDxfId="23"/>
    <tableColumn id="3" xr3:uid="{011123A9-966D-4046-B6B2-85F70C3034E4}" uniqueName="3" name="Variacao%" queryTableFieldId="3" dataDxfId="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5B7A50-D736-4664-800F-B82E3F7FAB48}" name="_05_FatiaDeInvestidores_mesAmes" displayName="_05_FatiaDeInvestidores_mesAmes" ref="A1:F11" tableType="queryTable" totalsRowShown="0" headerRowDxfId="8">
  <tableColumns count="6">
    <tableColumn id="1" xr3:uid="{F4666D43-549C-46C4-A6F1-526ED1D55A70}" uniqueName="1" name="Mes-Anos" queryTableFieldId="1"/>
    <tableColumn id="2" xr3:uid="{B112BF96-FBD3-42B5-B586-9E8FDC15F7C7}" uniqueName="2" name="PessFisicasClubInvest" queryTableFieldId="2" dataDxfId="7"/>
    <tableColumn id="3" xr3:uid="{A8CA1359-5D16-4B59-AE31-5FAF805B1851}" uniqueName="3" name="Institucionais" queryTableFieldId="3" dataDxfId="6"/>
    <tableColumn id="4" xr3:uid="{018ABBA0-D29A-416D-945B-79E927EC9F99}" uniqueName="4" name="Estrangeiro" queryTableFieldId="4" dataDxfId="5"/>
    <tableColumn id="5" xr3:uid="{10889858-5AD8-4570-BAA2-8291E2EFBAD1}" uniqueName="5" name="InstFinanc" queryTableFieldId="5" dataDxfId="4"/>
    <tableColumn id="6" xr3:uid="{DA7620A6-EDBA-4C2B-962F-E50630B2CE1F}" uniqueName="6" name="EmpPublicasPrivadasOutros" queryTableFieldId="6" dataDxfId="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AEC032-81EA-4E13-A9A8-6307F3792116}" name="_06_MovInvestEstrangeirosMensal_RMilhoes" displayName="_06_MovInvestEstrangeirosMensal_RMilhoes" ref="A1:E26" tableType="queryTable" totalsRowShown="0" headerRowDxfId="17">
  <tableColumns count="5">
    <tableColumn id="1" xr3:uid="{E1A2A198-B452-4C97-8304-6B0CB10704CE}" uniqueName="1" name="Mes-Anos" queryTableFieldId="1" dataDxfId="22"/>
    <tableColumn id="2" xr3:uid="{5A103AA2-545B-4229-9DA8-FC3FAFFD8DEE}" uniqueName="2" name="Compras(A)" queryTableFieldId="2" dataDxfId="21"/>
    <tableColumn id="3" xr3:uid="{DEB0B2F6-9BF9-4979-B0EB-FAD2EED02226}" uniqueName="3" name="Vendas(B)" queryTableFieldId="3" dataDxfId="20"/>
    <tableColumn id="4" xr3:uid="{60654E28-70BC-409E-A972-FD8D3820ED24}" uniqueName="4" name="IPO(C)" queryTableFieldId="4" dataDxfId="19"/>
    <tableColumn id="5" xr3:uid="{A8D77065-258A-4453-9386-B763DB554189}" uniqueName="5" name="A+C-B(Saldo)Rmilhoes" queryTableFieldId="5" dataDxfId="1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F67D-A417-4DEF-8100-3C177D6B18A5}">
  <dimension ref="A1:F7"/>
  <sheetViews>
    <sheetView tabSelected="1" workbookViewId="0">
      <selection activeCell="C24" sqref="C24"/>
    </sheetView>
  </sheetViews>
  <sheetFormatPr defaultRowHeight="15" x14ac:dyDescent="0.25"/>
  <cols>
    <col min="1" max="1" width="12.140625" bestFit="1" customWidth="1"/>
    <col min="2" max="2" width="21" style="1" bestFit="1" customWidth="1"/>
    <col min="3" max="3" width="18.42578125" style="1" bestFit="1" customWidth="1"/>
    <col min="4" max="4" width="19.42578125" style="1" bestFit="1" customWidth="1"/>
    <col min="5" max="5" width="18.42578125" style="1" bestFit="1" customWidth="1"/>
    <col min="6" max="6" width="22.42578125" style="1" bestFit="1" customWidth="1"/>
  </cols>
  <sheetData>
    <row r="1" spans="1: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25">
      <c r="A2" s="7" t="s">
        <v>6</v>
      </c>
      <c r="B2" s="8">
        <v>644900.52485767228</v>
      </c>
      <c r="C2" s="8">
        <v>1862.7937313218799</v>
      </c>
      <c r="D2" s="8">
        <v>29861.43783270862</v>
      </c>
      <c r="E2" s="8">
        <v>1310.5588279999999</v>
      </c>
      <c r="F2" s="9">
        <v>677935.31524970278</v>
      </c>
    </row>
    <row r="3" spans="1:6" x14ac:dyDescent="0.25">
      <c r="A3" s="7" t="s">
        <v>7</v>
      </c>
      <c r="B3" s="8">
        <v>250690.99342508928</v>
      </c>
      <c r="C3" s="8">
        <v>526.64322460000005</v>
      </c>
      <c r="D3" s="8">
        <v>10491.167069841045</v>
      </c>
      <c r="E3" s="8">
        <v>694.02789701250003</v>
      </c>
      <c r="F3" s="9">
        <v>262402.83161654283</v>
      </c>
    </row>
    <row r="4" spans="1:6" x14ac:dyDescent="0.25">
      <c r="A4" s="7" t="s">
        <v>8</v>
      </c>
      <c r="B4" s="8">
        <v>895591.51828276156</v>
      </c>
      <c r="C4" s="8">
        <v>2389.4369559218799</v>
      </c>
      <c r="D4" s="8">
        <v>40352.604902549661</v>
      </c>
      <c r="E4" s="8">
        <v>2004.5867250125</v>
      </c>
      <c r="F4" s="9">
        <v>940338.14686624566</v>
      </c>
    </row>
    <row r="5" spans="1:6" x14ac:dyDescent="0.25">
      <c r="A5" s="7" t="s">
        <v>9</v>
      </c>
      <c r="B5" s="8">
        <v>5858831.853355309</v>
      </c>
      <c r="C5" s="8">
        <v>22934.70651888967</v>
      </c>
      <c r="D5" s="8">
        <v>195282.3367520271</v>
      </c>
      <c r="E5" s="8">
        <v>15585.518384999999</v>
      </c>
      <c r="F5" s="9">
        <v>6092634.4150112262</v>
      </c>
    </row>
    <row r="6" spans="1:6" x14ac:dyDescent="0.25">
      <c r="A6" s="7" t="s">
        <v>10</v>
      </c>
      <c r="B6" s="8">
        <v>5826472.9225120386</v>
      </c>
      <c r="C6" s="8">
        <v>28706.684863900002</v>
      </c>
      <c r="D6" s="8">
        <v>176750.31995906</v>
      </c>
      <c r="E6" s="8">
        <v>6572.1454839999997</v>
      </c>
      <c r="F6" s="9">
        <v>6038502.0728189992</v>
      </c>
    </row>
    <row r="7" spans="1:6" x14ac:dyDescent="0.25">
      <c r="A7" s="10" t="s">
        <v>11</v>
      </c>
      <c r="B7" s="11">
        <v>6025491.8528613113</v>
      </c>
      <c r="C7" s="11">
        <v>28509.459531920002</v>
      </c>
      <c r="D7" s="11">
        <v>160838.45121333</v>
      </c>
      <c r="E7" s="11">
        <v>174.01971800000001</v>
      </c>
      <c r="F7" s="12">
        <v>6215013.7833245611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47A7-2249-45AE-846F-2D673146EDF9}">
  <dimension ref="A1:E7"/>
  <sheetViews>
    <sheetView workbookViewId="0">
      <selection activeCell="D12" sqref="D12"/>
    </sheetView>
  </sheetViews>
  <sheetFormatPr defaultRowHeight="15" x14ac:dyDescent="0.25"/>
  <cols>
    <col min="1" max="1" width="12.140625" bestFit="1" customWidth="1"/>
    <col min="2" max="2" width="23.140625" bestFit="1" customWidth="1"/>
    <col min="3" max="3" width="12.42578125" bestFit="1" customWidth="1"/>
    <col min="4" max="4" width="16.28515625" bestFit="1" customWidth="1"/>
    <col min="5" max="5" width="14.28515625" bestFit="1" customWidth="1"/>
  </cols>
  <sheetData>
    <row r="1" spans="1:5" s="13" customFormat="1" x14ac:dyDescent="0.25">
      <c r="A1" s="14" t="s">
        <v>0</v>
      </c>
      <c r="B1" s="15" t="s">
        <v>12</v>
      </c>
      <c r="C1" s="15" t="s">
        <v>13</v>
      </c>
      <c r="D1" s="15" t="s">
        <v>14</v>
      </c>
      <c r="E1" s="16" t="s">
        <v>15</v>
      </c>
    </row>
    <row r="2" spans="1:5" x14ac:dyDescent="0.25">
      <c r="A2" s="7">
        <v>202601</v>
      </c>
      <c r="B2" s="17">
        <v>32282.634059509655</v>
      </c>
      <c r="C2" s="36">
        <v>0</v>
      </c>
      <c r="D2" s="17">
        <v>6172.4697538306445</v>
      </c>
      <c r="E2" s="34">
        <v>0</v>
      </c>
    </row>
    <row r="3" spans="1:5" x14ac:dyDescent="0.25">
      <c r="A3" s="7">
        <v>202602</v>
      </c>
      <c r="B3" s="17">
        <v>32800.353952067853</v>
      </c>
      <c r="C3" s="36">
        <v>1.6</v>
      </c>
      <c r="D3" s="17">
        <v>6327.7170213881964</v>
      </c>
      <c r="E3" s="34">
        <v>2.52</v>
      </c>
    </row>
    <row r="4" spans="1:5" x14ac:dyDescent="0.25">
      <c r="A4" s="7">
        <v>20260211</v>
      </c>
      <c r="B4" s="17">
        <v>32425.453340215365</v>
      </c>
      <c r="C4" s="36">
        <v>33.049999999999997</v>
      </c>
      <c r="D4" s="17">
        <v>6255.3926499373729</v>
      </c>
      <c r="E4" s="34">
        <v>41.23</v>
      </c>
    </row>
    <row r="5" spans="1:5" x14ac:dyDescent="0.25">
      <c r="A5" s="7">
        <v>2025</v>
      </c>
      <c r="B5" s="17">
        <v>24370.537660044902</v>
      </c>
      <c r="C5" s="36">
        <v>1.3</v>
      </c>
      <c r="D5" s="17">
        <v>4429.0741603745464</v>
      </c>
      <c r="E5" s="34">
        <v>14</v>
      </c>
    </row>
    <row r="6" spans="1:5" x14ac:dyDescent="0.25">
      <c r="A6" s="7">
        <v>2024</v>
      </c>
      <c r="B6" s="17">
        <v>24057.777182545811</v>
      </c>
      <c r="C6" s="36">
        <v>-4</v>
      </c>
      <c r="D6" s="17">
        <v>3885.1117004256589</v>
      </c>
      <c r="E6" s="34">
        <v>-24.95</v>
      </c>
    </row>
    <row r="7" spans="1:5" x14ac:dyDescent="0.25">
      <c r="A7" s="10">
        <v>2023</v>
      </c>
      <c r="B7" s="18">
        <v>25060.539448889402</v>
      </c>
      <c r="C7" s="37">
        <v>-16.03</v>
      </c>
      <c r="D7" s="18">
        <v>5176.407049529952</v>
      </c>
      <c r="E7" s="35">
        <v>-9.5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3F632-E6E8-4C94-9C39-E9097D8CED8E}">
  <dimension ref="A1:R8"/>
  <sheetViews>
    <sheetView workbookViewId="0">
      <selection activeCell="B13" sqref="B13"/>
    </sheetView>
  </sheetViews>
  <sheetFormatPr defaultRowHeight="15" x14ac:dyDescent="0.25"/>
  <cols>
    <col min="1" max="1" width="12.140625" bestFit="1" customWidth="1"/>
    <col min="2" max="2" width="22.42578125" bestFit="1" customWidth="1"/>
    <col min="3" max="3" width="9.140625" bestFit="1" customWidth="1"/>
    <col min="4" max="4" width="11.140625" bestFit="1" customWidth="1"/>
    <col min="5" max="5" width="11.28515625" bestFit="1" customWidth="1"/>
    <col min="6" max="6" width="20.85546875" bestFit="1" customWidth="1"/>
  </cols>
  <sheetData>
    <row r="1" spans="1:18" s="3" customFormat="1" x14ac:dyDescent="0.25">
      <c r="A1" s="24" t="s">
        <v>0</v>
      </c>
      <c r="B1" s="25" t="s">
        <v>16</v>
      </c>
      <c r="C1" s="25" t="s">
        <v>2</v>
      </c>
      <c r="D1" s="25" t="s">
        <v>3</v>
      </c>
      <c r="E1" s="25" t="s">
        <v>4</v>
      </c>
      <c r="F1" s="26" t="s">
        <v>17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s="2" customFormat="1" x14ac:dyDescent="0.25">
      <c r="A2" s="27">
        <v>202601</v>
      </c>
      <c r="B2" s="28">
        <v>75298241</v>
      </c>
      <c r="C2" s="28">
        <v>8197</v>
      </c>
      <c r="D2" s="28">
        <v>12145832</v>
      </c>
      <c r="E2" s="28">
        <v>84</v>
      </c>
      <c r="F2" s="29">
        <v>87452354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s="2" customFormat="1" x14ac:dyDescent="0.25">
      <c r="A3" s="27">
        <v>202602</v>
      </c>
      <c r="B3" s="28">
        <v>30043750</v>
      </c>
      <c r="C3" s="28">
        <v>7329</v>
      </c>
      <c r="D3" s="28">
        <v>3793958</v>
      </c>
      <c r="E3" s="28">
        <v>45</v>
      </c>
      <c r="F3" s="29">
        <v>33845082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s="2" customFormat="1" x14ac:dyDescent="0.25">
      <c r="A4" s="27">
        <v>20260211</v>
      </c>
      <c r="B4" s="28">
        <v>105341991</v>
      </c>
      <c r="C4" s="28">
        <v>15526</v>
      </c>
      <c r="D4" s="28">
        <v>15939790</v>
      </c>
      <c r="E4" s="28">
        <v>129</v>
      </c>
      <c r="F4" s="29">
        <v>121297436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s="2" customFormat="1" x14ac:dyDescent="0.25">
      <c r="A5" s="27">
        <v>2025</v>
      </c>
      <c r="B5" s="28">
        <v>794871952</v>
      </c>
      <c r="C5" s="28">
        <v>125845</v>
      </c>
      <c r="D5" s="28">
        <v>113291717</v>
      </c>
      <c r="E5" s="28">
        <v>824</v>
      </c>
      <c r="F5" s="29">
        <v>908290338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s="2" customFormat="1" x14ac:dyDescent="0.25">
      <c r="A6" s="27">
        <v>2024</v>
      </c>
      <c r="B6" s="28">
        <v>856946668</v>
      </c>
      <c r="C6" s="28">
        <v>180690</v>
      </c>
      <c r="D6" s="28">
        <v>85443576</v>
      </c>
      <c r="E6" s="28">
        <v>451</v>
      </c>
      <c r="F6" s="29">
        <v>942571385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spans="1:18" s="2" customFormat="1" x14ac:dyDescent="0.25">
      <c r="A7" s="30">
        <v>2023</v>
      </c>
      <c r="B7" s="31">
        <v>840742315</v>
      </c>
      <c r="C7" s="31">
        <v>226319</v>
      </c>
      <c r="D7" s="31">
        <v>73704856</v>
      </c>
      <c r="E7" s="31">
        <v>69</v>
      </c>
      <c r="F7" s="32">
        <v>914673559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</row>
    <row r="8" spans="1:18" x14ac:dyDescent="0.25"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10116-E876-469D-A5B5-E1689D2A1E6C}">
  <dimension ref="A1:C7"/>
  <sheetViews>
    <sheetView workbookViewId="0">
      <selection activeCell="B7" sqref="B7"/>
    </sheetView>
  </sheetViews>
  <sheetFormatPr defaultRowHeight="15" x14ac:dyDescent="0.25"/>
  <cols>
    <col min="1" max="1" width="12.140625" bestFit="1" customWidth="1"/>
    <col min="2" max="2" width="23" bestFit="1" customWidth="1"/>
    <col min="3" max="3" width="12.42578125" bestFit="1" customWidth="1"/>
  </cols>
  <sheetData>
    <row r="1" spans="1:3" x14ac:dyDescent="0.25">
      <c r="A1" t="s">
        <v>0</v>
      </c>
      <c r="B1" t="s">
        <v>18</v>
      </c>
      <c r="C1" t="s">
        <v>13</v>
      </c>
    </row>
    <row r="2" spans="1:3" x14ac:dyDescent="0.25">
      <c r="A2">
        <v>202601</v>
      </c>
      <c r="B2" s="19">
        <v>4164397</v>
      </c>
      <c r="C2" s="33">
        <v>0</v>
      </c>
    </row>
    <row r="3" spans="1:3" x14ac:dyDescent="0.25">
      <c r="A3">
        <v>202602</v>
      </c>
      <c r="B3" s="19">
        <v>4230635</v>
      </c>
      <c r="C3" s="33">
        <v>1.59</v>
      </c>
    </row>
    <row r="4" spans="1:3" x14ac:dyDescent="0.25">
      <c r="A4">
        <v>20260211</v>
      </c>
      <c r="B4" s="19">
        <v>4182670</v>
      </c>
      <c r="C4" s="33">
        <v>15.12</v>
      </c>
    </row>
    <row r="5" spans="1:3" x14ac:dyDescent="0.25">
      <c r="A5">
        <v>2025</v>
      </c>
      <c r="B5" s="19">
        <v>3633161</v>
      </c>
      <c r="C5" s="33">
        <v>-3.25</v>
      </c>
    </row>
    <row r="6" spans="1:3" x14ac:dyDescent="0.25">
      <c r="A6">
        <v>2024</v>
      </c>
      <c r="B6" s="19">
        <v>3755264</v>
      </c>
      <c r="C6" s="33">
        <v>1.82</v>
      </c>
    </row>
    <row r="7" spans="1:3" x14ac:dyDescent="0.25">
      <c r="A7">
        <v>2023</v>
      </c>
      <c r="B7" s="19">
        <v>3688199</v>
      </c>
      <c r="C7" s="33">
        <v>-7.22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2E510-2571-493A-93A7-B558A9DCE5D3}">
  <dimension ref="A1:F11"/>
  <sheetViews>
    <sheetView workbookViewId="0">
      <selection activeCell="D18" sqref="D18"/>
    </sheetView>
  </sheetViews>
  <sheetFormatPr defaultRowHeight="15" x14ac:dyDescent="0.25"/>
  <cols>
    <col min="1" max="1" width="12.140625" bestFit="1" customWidth="1"/>
    <col min="2" max="2" width="24" bestFit="1" customWidth="1"/>
    <col min="3" max="3" width="15.7109375" bestFit="1" customWidth="1"/>
    <col min="4" max="4" width="13.5703125" bestFit="1" customWidth="1"/>
    <col min="5" max="5" width="12.5703125" bestFit="1" customWidth="1"/>
    <col min="6" max="6" width="29.140625" bestFit="1" customWidth="1"/>
  </cols>
  <sheetData>
    <row r="1" spans="1:6" x14ac:dyDescent="0.25">
      <c r="A1" s="13" t="s">
        <v>0</v>
      </c>
      <c r="B1" s="13" t="s">
        <v>19</v>
      </c>
      <c r="C1" s="13" t="s">
        <v>20</v>
      </c>
      <c r="D1" s="13" t="s">
        <v>21</v>
      </c>
      <c r="E1" s="13" t="s">
        <v>22</v>
      </c>
      <c r="F1" s="13" t="s">
        <v>23</v>
      </c>
    </row>
    <row r="2" spans="1:6" x14ac:dyDescent="0.25">
      <c r="A2">
        <v>202601</v>
      </c>
      <c r="B2" s="33">
        <v>0.11799999999999999</v>
      </c>
      <c r="C2" s="33">
        <v>0.24399999999999999</v>
      </c>
      <c r="D2" s="33">
        <v>0.60199999999999998</v>
      </c>
      <c r="E2" s="33">
        <v>0.03</v>
      </c>
      <c r="F2" s="33">
        <v>6.0000000000000001E-3</v>
      </c>
    </row>
    <row r="3" spans="1:6" x14ac:dyDescent="0.25">
      <c r="A3">
        <v>202602</v>
      </c>
      <c r="B3" s="33">
        <v>0.126</v>
      </c>
      <c r="C3" s="33">
        <v>0.22</v>
      </c>
      <c r="D3" s="33">
        <v>0.61899999999999999</v>
      </c>
      <c r="E3" s="33">
        <v>2.9000000000000001E-2</v>
      </c>
      <c r="F3" s="33">
        <v>6.0000000000000001E-3</v>
      </c>
    </row>
    <row r="4" spans="1:6" x14ac:dyDescent="0.25">
      <c r="A4">
        <v>20260210</v>
      </c>
      <c r="B4" s="33">
        <v>0.122</v>
      </c>
      <c r="C4" s="33">
        <v>0.23200000000000001</v>
      </c>
      <c r="D4" s="33">
        <v>0.61099999999999999</v>
      </c>
      <c r="E4" s="33">
        <v>0.03</v>
      </c>
      <c r="F4" s="33">
        <v>6.0000000000000001E-3</v>
      </c>
    </row>
    <row r="5" spans="1:6" x14ac:dyDescent="0.25">
      <c r="A5">
        <v>2025</v>
      </c>
      <c r="B5" s="33">
        <v>0.124</v>
      </c>
      <c r="C5" s="33">
        <v>0.254</v>
      </c>
      <c r="D5" s="33">
        <v>0.58299999999999996</v>
      </c>
      <c r="E5" s="33">
        <v>0.03</v>
      </c>
      <c r="F5" s="33">
        <v>8.9999999999999993E-3</v>
      </c>
    </row>
    <row r="6" spans="1:6" x14ac:dyDescent="0.25">
      <c r="A6">
        <v>2024</v>
      </c>
      <c r="B6" s="33">
        <v>0.13300000000000001</v>
      </c>
      <c r="C6" s="33">
        <v>0.26400000000000001</v>
      </c>
      <c r="D6" s="33">
        <v>0.55800000000000005</v>
      </c>
      <c r="E6" s="33">
        <v>3.7999999999999999E-2</v>
      </c>
      <c r="F6" s="33">
        <v>8.0000000000000002E-3</v>
      </c>
    </row>
    <row r="7" spans="1:6" x14ac:dyDescent="0.25">
      <c r="A7">
        <v>2023</v>
      </c>
      <c r="B7" s="33">
        <v>0.13800000000000001</v>
      </c>
      <c r="C7" s="33">
        <v>0.27100000000000002</v>
      </c>
      <c r="D7" s="33">
        <v>0.54700000000000004</v>
      </c>
      <c r="E7" s="33">
        <v>3.5999999999999997E-2</v>
      </c>
      <c r="F7" s="33">
        <v>8.0000000000000002E-3</v>
      </c>
    </row>
    <row r="8" spans="1:6" x14ac:dyDescent="0.25">
      <c r="A8">
        <v>2022</v>
      </c>
      <c r="B8" s="33">
        <v>0.14899999999999999</v>
      </c>
      <c r="C8" s="33">
        <v>0.25700000000000001</v>
      </c>
      <c r="D8" s="33">
        <v>0.54900000000000004</v>
      </c>
      <c r="E8" s="33">
        <v>3.6999999999999998E-2</v>
      </c>
      <c r="F8" s="33">
        <v>8.9999999999999993E-3</v>
      </c>
    </row>
    <row r="9" spans="1:6" x14ac:dyDescent="0.25">
      <c r="A9">
        <v>2021</v>
      </c>
      <c r="B9" s="33">
        <v>0.19</v>
      </c>
      <c r="C9" s="33">
        <v>0.25</v>
      </c>
      <c r="D9" s="33">
        <v>0.505</v>
      </c>
      <c r="E9" s="33">
        <v>4.2999999999999997E-2</v>
      </c>
      <c r="F9" s="33">
        <v>1.2E-2</v>
      </c>
    </row>
    <row r="10" spans="1:6" x14ac:dyDescent="0.25">
      <c r="A10">
        <v>2020</v>
      </c>
      <c r="B10" s="33">
        <v>0.214</v>
      </c>
      <c r="C10" s="33">
        <v>0.27200000000000002</v>
      </c>
      <c r="D10" s="33">
        <v>0.46600000000000003</v>
      </c>
      <c r="E10" s="33">
        <v>0.04</v>
      </c>
      <c r="F10" s="33">
        <v>8.9999999999999993E-3</v>
      </c>
    </row>
    <row r="11" spans="1:6" x14ac:dyDescent="0.25">
      <c r="A11">
        <v>2019</v>
      </c>
      <c r="B11" s="33">
        <v>0.182</v>
      </c>
      <c r="C11" s="33">
        <v>0.315</v>
      </c>
      <c r="D11" s="33">
        <v>0.45</v>
      </c>
      <c r="E11" s="33">
        <v>4.5999999999999999E-2</v>
      </c>
      <c r="F11" s="33">
        <v>8.0000000000000002E-3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CD95-E1F6-46B1-9AD2-4126AEF7C58E}">
  <dimension ref="A1:I26"/>
  <sheetViews>
    <sheetView workbookViewId="0">
      <selection activeCell="G17" sqref="G17"/>
    </sheetView>
  </sheetViews>
  <sheetFormatPr defaultRowHeight="15" x14ac:dyDescent="0.25"/>
  <cols>
    <col min="1" max="1" width="12.140625" bestFit="1" customWidth="1"/>
    <col min="2" max="2" width="17.5703125" customWidth="1"/>
    <col min="3" max="3" width="12.42578125" bestFit="1" customWidth="1"/>
    <col min="4" max="4" width="9.28515625" bestFit="1" customWidth="1"/>
    <col min="5" max="5" width="21.7109375" customWidth="1"/>
  </cols>
  <sheetData>
    <row r="1" spans="1:9" x14ac:dyDescent="0.25">
      <c r="A1" s="22" t="s">
        <v>0</v>
      </c>
      <c r="B1" s="22" t="s">
        <v>24</v>
      </c>
      <c r="C1" s="22" t="s">
        <v>25</v>
      </c>
      <c r="D1" s="22" t="s">
        <v>26</v>
      </c>
      <c r="E1" s="22" t="s">
        <v>46</v>
      </c>
    </row>
    <row r="2" spans="1:9" x14ac:dyDescent="0.25">
      <c r="A2" t="s">
        <v>27</v>
      </c>
      <c r="B2" s="20">
        <v>289209.8</v>
      </c>
      <c r="C2" s="20">
        <v>282385.40000000002</v>
      </c>
      <c r="D2" s="20">
        <v>0</v>
      </c>
      <c r="E2" s="20">
        <v>6824.3</v>
      </c>
    </row>
    <row r="3" spans="1:9" x14ac:dyDescent="0.25">
      <c r="A3" t="s">
        <v>28</v>
      </c>
      <c r="B3" s="20">
        <v>289386.7</v>
      </c>
      <c r="C3" s="20">
        <v>288687.40000000002</v>
      </c>
      <c r="D3" s="20">
        <v>0</v>
      </c>
      <c r="E3" s="20">
        <v>699.3</v>
      </c>
    </row>
    <row r="4" spans="1:9" x14ac:dyDescent="0.25">
      <c r="A4" t="s">
        <v>29</v>
      </c>
      <c r="B4" s="20">
        <v>272230</v>
      </c>
      <c r="C4" s="20">
        <v>269111.7</v>
      </c>
      <c r="D4" s="20">
        <v>344.5</v>
      </c>
      <c r="E4" s="20">
        <v>3462.8</v>
      </c>
      <c r="I4">
        <f>_06_MovInvestEstrangeirosMensal_RMilhoes[[#This Row],[Compras(A)]]-_06_MovInvestEstrangeirosMensal_RMilhoes[[#This Row],[Vendas(B)]]+_06_MovInvestEstrangeirosMensal_RMilhoes[[#This Row],[IPO(C)]]</f>
        <v>3462.7999999999884</v>
      </c>
    </row>
    <row r="5" spans="1:9" x14ac:dyDescent="0.25">
      <c r="A5" t="s">
        <v>30</v>
      </c>
      <c r="B5" s="20">
        <v>323322.2</v>
      </c>
      <c r="C5" s="20">
        <v>323455.8</v>
      </c>
      <c r="D5" s="20">
        <v>0</v>
      </c>
      <c r="E5" s="20">
        <v>-133.6</v>
      </c>
      <c r="I5">
        <f>_06_MovInvestEstrangeirosMensal_RMilhoes[[#This Row],[Compras(A)]]-_06_MovInvestEstrangeirosMensal_RMilhoes[[#This Row],[Vendas(B)]]+_06_MovInvestEstrangeirosMensal_RMilhoes[[#This Row],[IPO(C)]]</f>
        <v>-133.59999999997672</v>
      </c>
    </row>
    <row r="6" spans="1:9" x14ac:dyDescent="0.25">
      <c r="A6" t="s">
        <v>31</v>
      </c>
      <c r="B6" s="20">
        <v>327029.2</v>
      </c>
      <c r="C6" s="20">
        <v>316447.5</v>
      </c>
      <c r="D6" s="20">
        <v>80.5</v>
      </c>
      <c r="E6" s="20">
        <v>10662.2</v>
      </c>
      <c r="I6">
        <f>_06_MovInvestEstrangeirosMensal_RMilhoes[[#This Row],[Compras(A)]]-_06_MovInvestEstrangeirosMensal_RMilhoes[[#This Row],[Vendas(B)]]+_06_MovInvestEstrangeirosMensal_RMilhoes[[#This Row],[IPO(C)]]</f>
        <v>10662.200000000012</v>
      </c>
    </row>
    <row r="7" spans="1:9" x14ac:dyDescent="0.25">
      <c r="A7" t="s">
        <v>32</v>
      </c>
      <c r="B7" s="20">
        <v>289016.09999999998</v>
      </c>
      <c r="C7" s="20">
        <v>283657.40000000002</v>
      </c>
      <c r="D7" s="20">
        <v>30.9</v>
      </c>
      <c r="E7" s="20">
        <v>5389.7</v>
      </c>
      <c r="I7">
        <f>_06_MovInvestEstrangeirosMensal_RMilhoes[[#This Row],[Compras(A)]]-_06_MovInvestEstrangeirosMensal_RMilhoes[[#This Row],[Vendas(B)]]+_06_MovInvestEstrangeirosMensal_RMilhoes[[#This Row],[IPO(C)]]</f>
        <v>5389.5999999999531</v>
      </c>
    </row>
    <row r="8" spans="1:9" x14ac:dyDescent="0.25">
      <c r="A8" t="s">
        <v>33</v>
      </c>
      <c r="B8" s="20">
        <v>271637.3</v>
      </c>
      <c r="C8" s="20">
        <v>278009.3</v>
      </c>
      <c r="D8" s="20">
        <v>104.2</v>
      </c>
      <c r="E8" s="20">
        <v>-6267.7</v>
      </c>
      <c r="I8">
        <f>_06_MovInvestEstrangeirosMensal_RMilhoes[[#This Row],[Compras(A)]]-_06_MovInvestEstrangeirosMensal_RMilhoes[[#This Row],[Vendas(B)]]+_06_MovInvestEstrangeirosMensal_RMilhoes[[#This Row],[IPO(C)]]</f>
        <v>-6267.8</v>
      </c>
    </row>
    <row r="9" spans="1:9" x14ac:dyDescent="0.25">
      <c r="A9" t="s">
        <v>34</v>
      </c>
      <c r="B9" s="20">
        <v>274825</v>
      </c>
      <c r="C9" s="20">
        <v>273656.7</v>
      </c>
      <c r="D9" s="20">
        <v>0</v>
      </c>
      <c r="E9" s="20">
        <v>1168.3</v>
      </c>
      <c r="I9">
        <f>_06_MovInvestEstrangeirosMensal_RMilhoes[[#This Row],[Compras(A)]]-_06_MovInvestEstrangeirosMensal_RMilhoes[[#This Row],[Vendas(B)]]+_06_MovInvestEstrangeirosMensal_RMilhoes[[#This Row],[IPO(C)]]</f>
        <v>1168.2999999999884</v>
      </c>
    </row>
    <row r="10" spans="1:9" x14ac:dyDescent="0.25">
      <c r="A10" t="s">
        <v>35</v>
      </c>
      <c r="B10" s="20">
        <v>278884.7</v>
      </c>
      <c r="C10" s="20">
        <v>273617.59999999998</v>
      </c>
      <c r="D10" s="20">
        <v>0</v>
      </c>
      <c r="E10" s="20">
        <v>5267.1</v>
      </c>
      <c r="I10">
        <f>_06_MovInvestEstrangeirosMensal_RMilhoes[[#This Row],[Compras(A)]]-_06_MovInvestEstrangeirosMensal_RMilhoes[[#This Row],[Vendas(B)]]+_06_MovInvestEstrangeirosMensal_RMilhoes[[#This Row],[IPO(C)]]</f>
        <v>5267.1000000000349</v>
      </c>
    </row>
    <row r="11" spans="1:9" x14ac:dyDescent="0.25">
      <c r="A11" t="s">
        <v>36</v>
      </c>
      <c r="B11" s="20">
        <v>299445.7</v>
      </c>
      <c r="C11" s="20">
        <v>300672.2</v>
      </c>
      <c r="D11" s="20">
        <v>94.5</v>
      </c>
      <c r="E11" s="20">
        <v>-1132</v>
      </c>
      <c r="I11">
        <f>_06_MovInvestEstrangeirosMensal_RMilhoes[[#This Row],[Compras(A)]]-_06_MovInvestEstrangeirosMensal_RMilhoes[[#This Row],[Vendas(B)]]+_06_MovInvestEstrangeirosMensal_RMilhoes[[#This Row],[IPO(C)]]</f>
        <v>-1132</v>
      </c>
    </row>
    <row r="12" spans="1:9" x14ac:dyDescent="0.25">
      <c r="A12" s="21">
        <v>202511</v>
      </c>
      <c r="B12" s="20">
        <v>311447</v>
      </c>
      <c r="C12" s="20">
        <v>309386.2</v>
      </c>
      <c r="D12" s="20">
        <v>489.3</v>
      </c>
      <c r="E12" s="20">
        <v>2550.1</v>
      </c>
      <c r="I12">
        <f>_06_MovInvestEstrangeirosMensal_RMilhoes[[#This Row],[Compras(A)]]-_06_MovInvestEstrangeirosMensal_RMilhoes[[#This Row],[Vendas(B)]]+_06_MovInvestEstrangeirosMensal_RMilhoes[[#This Row],[IPO(C)]]</f>
        <v>2550.0999999999885</v>
      </c>
    </row>
    <row r="13" spans="1:9" x14ac:dyDescent="0.25">
      <c r="A13" t="s">
        <v>37</v>
      </c>
      <c r="B13" s="20">
        <v>339636.1</v>
      </c>
      <c r="C13" s="20">
        <v>341509.6</v>
      </c>
      <c r="D13" s="20">
        <v>253.3</v>
      </c>
      <c r="E13" s="20">
        <v>-1620.1</v>
      </c>
      <c r="G13" s="20"/>
      <c r="I13" s="20">
        <f>_06_MovInvestEstrangeirosMensal_RMilhoes[[#This Row],[Compras(A)]]-_06_MovInvestEstrangeirosMensal_RMilhoes[[#This Row],[Vendas(B)]]+_06_MovInvestEstrangeirosMensal_RMilhoes[[#This Row],[IPO(C)]]</f>
        <v>-1620.2</v>
      </c>
    </row>
    <row r="14" spans="1:9" x14ac:dyDescent="0.25">
      <c r="A14" t="s">
        <v>6</v>
      </c>
      <c r="B14" s="20">
        <v>421435.4</v>
      </c>
      <c r="C14" s="20">
        <v>395121.9</v>
      </c>
      <c r="D14" s="20">
        <v>157.69999999999999</v>
      </c>
      <c r="E14" s="20">
        <v>26471.3</v>
      </c>
      <c r="G14" s="20"/>
      <c r="H14" s="20">
        <f>G14-_06_MovInvestEstrangeirosMensal_RMilhoes[[#This Row],[A+C-B(Saldo)Rmilhoes]]</f>
        <v>-26471.3</v>
      </c>
      <c r="I14">
        <f>_06_MovInvestEstrangeirosMensal_RMilhoes[[#This Row],[Compras(A)]]-_06_MovInvestEstrangeirosMensal_RMilhoes[[#This Row],[Vendas(B)]]+_06_MovInvestEstrangeirosMensal_RMilhoes[[#This Row],[IPO(C)]]</f>
        <v>26471.200000000001</v>
      </c>
    </row>
    <row r="15" spans="1:9" x14ac:dyDescent="0.25">
      <c r="A15" t="s">
        <v>7</v>
      </c>
      <c r="B15" s="20">
        <v>140894.5</v>
      </c>
      <c r="C15" s="20">
        <v>136122.20000000001</v>
      </c>
      <c r="D15" s="20">
        <v>0</v>
      </c>
      <c r="E15" s="20">
        <v>4772.3</v>
      </c>
    </row>
    <row r="16" spans="1:9" x14ac:dyDescent="0.25">
      <c r="A16" t="s">
        <v>38</v>
      </c>
      <c r="B16" s="20">
        <v>562330</v>
      </c>
      <c r="C16" s="20">
        <v>531244.1</v>
      </c>
      <c r="D16" s="20">
        <v>157.69999999999999</v>
      </c>
      <c r="E16" s="20">
        <v>31243.599999999999</v>
      </c>
      <c r="I16">
        <f>_06_MovInvestEstrangeirosMensal_RMilhoes[[#This Row],[Compras(A)]]-_06_MovInvestEstrangeirosMensal_RMilhoes[[#This Row],[Vendas(B)]]+_06_MovInvestEstrangeirosMensal_RMilhoes[[#This Row],[IPO(C)]]</f>
        <v>31243.600000000024</v>
      </c>
    </row>
    <row r="17" spans="1:7" x14ac:dyDescent="0.25">
      <c r="A17" t="s">
        <v>9</v>
      </c>
      <c r="B17" s="20">
        <v>3566070</v>
      </c>
      <c r="C17" s="20">
        <v>3540596.7</v>
      </c>
      <c r="D17" s="20">
        <v>1397.2</v>
      </c>
      <c r="E17" s="20">
        <v>26870.400000000001</v>
      </c>
      <c r="G17" s="20">
        <f>_06_MovInvestEstrangeirosMensal_RMilhoes[[#This Row],[Compras(A)]]-_06_MovInvestEstrangeirosMensal_RMilhoes[[#This Row],[Vendas(B)]]</f>
        <v>25473.299999999814</v>
      </c>
    </row>
    <row r="18" spans="1:7" x14ac:dyDescent="0.25">
      <c r="A18" t="s">
        <v>10</v>
      </c>
      <c r="B18" s="20">
        <v>3355063</v>
      </c>
      <c r="C18" s="20">
        <v>3387171</v>
      </c>
      <c r="D18" s="20">
        <v>7909.9</v>
      </c>
      <c r="E18" s="20">
        <v>-24198.2</v>
      </c>
      <c r="G18">
        <f>_06_MovInvestEstrangeirosMensal_RMilhoes[[#This Row],[Compras(A)]]-_06_MovInvestEstrangeirosMensal_RMilhoes[[#This Row],[Vendas(B)]]</f>
        <v>-32108</v>
      </c>
    </row>
    <row r="19" spans="1:7" x14ac:dyDescent="0.25">
      <c r="A19" t="s">
        <v>11</v>
      </c>
      <c r="B19" s="20">
        <v>3421173.4</v>
      </c>
      <c r="C19" s="20">
        <v>3376320.1</v>
      </c>
      <c r="D19" s="20">
        <v>11101.3</v>
      </c>
      <c r="E19" s="20">
        <v>55954.6</v>
      </c>
      <c r="G19">
        <f>_06_MovInvestEstrangeirosMensal_RMilhoes[[#This Row],[Compras(A)]]-_06_MovInvestEstrangeirosMensal_RMilhoes[[#This Row],[Vendas(B)]]</f>
        <v>44853.299999999814</v>
      </c>
    </row>
    <row r="20" spans="1:7" x14ac:dyDescent="0.25">
      <c r="A20" t="s">
        <v>39</v>
      </c>
      <c r="B20" s="20">
        <v>4147649.8</v>
      </c>
      <c r="C20" s="20">
        <v>4046825.6</v>
      </c>
      <c r="D20" s="20">
        <v>18970.2</v>
      </c>
      <c r="E20" s="20">
        <v>119794.3</v>
      </c>
      <c r="G20">
        <f>_06_MovInvestEstrangeirosMensal_RMilhoes[[#This Row],[Compras(A)]]-_06_MovInvestEstrangeirosMensal_RMilhoes[[#This Row],[Vendas(B)]]</f>
        <v>100824.19999999972</v>
      </c>
    </row>
    <row r="21" spans="1:7" x14ac:dyDescent="0.25">
      <c r="A21" t="s">
        <v>40</v>
      </c>
      <c r="B21" s="20">
        <v>4179722.7</v>
      </c>
      <c r="C21" s="20">
        <v>4186875.1</v>
      </c>
      <c r="D21" s="20">
        <v>48690.400000000001</v>
      </c>
      <c r="E21" s="20">
        <v>41538</v>
      </c>
      <c r="G21">
        <f>_06_MovInvestEstrangeirosMensal_RMilhoes[[#This Row],[Compras(A)]]-_06_MovInvestEstrangeirosMensal_RMilhoes[[#This Row],[Vendas(B)]]</f>
        <v>-7152.3999999999069</v>
      </c>
    </row>
    <row r="22" spans="1:7" x14ac:dyDescent="0.25">
      <c r="A22" t="s">
        <v>41</v>
      </c>
      <c r="B22" s="20">
        <v>3425799.8</v>
      </c>
      <c r="C22" s="20">
        <v>3465463.3</v>
      </c>
      <c r="D22" s="20">
        <v>40364.6</v>
      </c>
      <c r="E22" s="20">
        <v>701.2</v>
      </c>
      <c r="G22">
        <f>_06_MovInvestEstrangeirosMensal_RMilhoes[[#This Row],[Compras(A)]]-_06_MovInvestEstrangeirosMensal_RMilhoes[[#This Row],[Vendas(B)]]</f>
        <v>-39663.5</v>
      </c>
    </row>
    <row r="23" spans="1:7" x14ac:dyDescent="0.25">
      <c r="A23" t="s">
        <v>42</v>
      </c>
      <c r="B23" s="20">
        <v>1895754.5</v>
      </c>
      <c r="C23" s="20">
        <v>1940271.9</v>
      </c>
      <c r="D23" s="20">
        <v>38019</v>
      </c>
      <c r="E23" s="20">
        <v>-6498.4</v>
      </c>
      <c r="G23">
        <f>_06_MovInvestEstrangeirosMensal_RMilhoes[[#This Row],[Compras(A)]]-_06_MovInvestEstrangeirosMensal_RMilhoes[[#This Row],[Vendas(B)]]</f>
        <v>-44517.399999999907</v>
      </c>
    </row>
    <row r="24" spans="1:7" x14ac:dyDescent="0.25">
      <c r="A24" t="s">
        <v>43</v>
      </c>
      <c r="B24" s="20">
        <v>1487106.1</v>
      </c>
      <c r="C24" s="20">
        <v>1498627.2</v>
      </c>
      <c r="D24" s="20">
        <v>6689.6</v>
      </c>
      <c r="E24" s="20">
        <v>-4831.5</v>
      </c>
      <c r="G24">
        <f>_06_MovInvestEstrangeirosMensal_RMilhoes[[#This Row],[Compras(A)]]-_06_MovInvestEstrangeirosMensal_RMilhoes[[#This Row],[Vendas(B)]]</f>
        <v>-11521.09999999986</v>
      </c>
    </row>
    <row r="25" spans="1:7" x14ac:dyDescent="0.25">
      <c r="A25" t="s">
        <v>44</v>
      </c>
      <c r="B25" s="20">
        <v>1045625.5</v>
      </c>
      <c r="C25" s="20">
        <v>1031271.5</v>
      </c>
      <c r="D25" s="20">
        <v>25200.799999999999</v>
      </c>
      <c r="E25" s="20">
        <v>39554.800000000003</v>
      </c>
      <c r="G25">
        <f>_06_MovInvestEstrangeirosMensal_RMilhoes[[#This Row],[Compras(A)]]-_06_MovInvestEstrangeirosMensal_RMilhoes[[#This Row],[Vendas(B)]]</f>
        <v>14354</v>
      </c>
    </row>
    <row r="26" spans="1:7" x14ac:dyDescent="0.25">
      <c r="A26" t="s">
        <v>45</v>
      </c>
      <c r="B26" s="20">
        <v>967617.6</v>
      </c>
      <c r="C26" s="20">
        <v>953292.2</v>
      </c>
      <c r="D26" s="20">
        <v>5216.1000000000004</v>
      </c>
      <c r="E26" s="20">
        <v>19541.5</v>
      </c>
      <c r="G26" s="20">
        <f>_06_MovInvestEstrangeirosMensal_RMilhoes[[#This Row],[Compras(A)]]-_06_MovInvestEstrangeirosMensal_RMilhoes[[#This Row],[Vendas(B)]]</f>
        <v>14325.400000000023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506F6-FC94-4D82-B7B9-82FB195B1C22}">
  <dimension ref="B1:F1"/>
  <sheetViews>
    <sheetView workbookViewId="0">
      <selection activeCell="H34" sqref="H34"/>
    </sheetView>
  </sheetViews>
  <sheetFormatPr defaultRowHeight="15" x14ac:dyDescent="0.25"/>
  <cols>
    <col min="2" max="6" width="9.140625" style="1"/>
  </cols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5E8BAD-FE7B-44BF-95F0-8DB893F908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01_DadosNegocVolumeTotal</vt:lpstr>
      <vt:lpstr>02-VolumeMedioDiario</vt:lpstr>
      <vt:lpstr>03-NdeNegociosTotal</vt:lpstr>
      <vt:lpstr>04-NdeNegociosMedioDiario</vt:lpstr>
      <vt:lpstr>05-FatiaDeInvestidores-mesAmes</vt:lpstr>
      <vt:lpstr>06-MovInvestEstrangeirosMensal-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Luis T. Ferreira</dc:creator>
  <cp:lastModifiedBy>Mario Luis T. Ferreira</cp:lastModifiedBy>
  <dcterms:created xsi:type="dcterms:W3CDTF">2026-02-13T18:52:29Z</dcterms:created>
  <dcterms:modified xsi:type="dcterms:W3CDTF">2026-02-14T18:11:49Z</dcterms:modified>
</cp:coreProperties>
</file>