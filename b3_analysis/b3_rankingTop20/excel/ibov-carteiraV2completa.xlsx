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\B3_dataV2\b3_analysis\b3_rankingTop20\excel\"/>
    </mc:Choice>
  </mc:AlternateContent>
  <xr:revisionPtr revIDLastSave="0" documentId="13_ncr:1_{BF190D92-6DF0-4360-A764-3694DFF660E5}" xr6:coauthVersionLast="47" xr6:coauthVersionMax="47" xr10:uidLastSave="{00000000-0000-0000-0000-000000000000}"/>
  <bookViews>
    <workbookView xWindow="3105" yWindow="3075" windowWidth="23670" windowHeight="12180" tabRatio="840" firstSheet="6" activeTab="11" xr2:uid="{938BD44A-9C81-4C5C-AA5D-164255A86689}"/>
  </bookViews>
  <sheets>
    <sheet name="ibov201709" sheetId="19" r:id="rId1"/>
    <sheet name="ibov201809" sheetId="18" r:id="rId2"/>
    <sheet name="ibov201909" sheetId="17" r:id="rId3"/>
    <sheet name="ibov202009" sheetId="16" r:id="rId4"/>
    <sheet name="ibov202109" sheetId="1" r:id="rId5"/>
    <sheet name="ibov202209" sheetId="15" r:id="rId6"/>
    <sheet name="ibov202309" sheetId="2" r:id="rId7"/>
    <sheet name="ibov202409" sheetId="3" r:id="rId8"/>
    <sheet name="Planilha1" sheetId="20" r:id="rId9"/>
    <sheet name="ibov202509" sheetId="4" r:id="rId10"/>
    <sheet name="ibov202601" sheetId="9" r:id="rId11"/>
    <sheet name="ibov202602" sheetId="21" r:id="rId12"/>
    <sheet name="ibov2026v2" sheetId="10" r:id="rId13"/>
    <sheet name="ibov2026v3" sheetId="11" r:id="rId14"/>
    <sheet name="ibov2026v4" sheetId="12" r:id="rId15"/>
    <sheet name="ibov2026v5x24" sheetId="14" r:id="rId16"/>
    <sheet name="analise2025-09" sheetId="5" r:id="rId17"/>
    <sheet name="analiseComunsATodosAnos" sheetId="13" r:id="rId18"/>
    <sheet name="ibov-Fecham-menores" sheetId="6" r:id="rId19"/>
    <sheet name="ibov-Fecham-maiores" sheetId="7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4" l="1"/>
  <c r="G21" i="4"/>
  <c r="G21" i="19"/>
  <c r="G16" i="19"/>
  <c r="G21" i="18"/>
  <c r="G16" i="18"/>
  <c r="G21" i="17"/>
  <c r="G16" i="17"/>
  <c r="G21" i="16"/>
  <c r="G15" i="16"/>
  <c r="G21" i="1"/>
  <c r="G17" i="1"/>
  <c r="G21" i="15"/>
  <c r="G16" i="15"/>
  <c r="G21" i="2"/>
  <c r="G16" i="2"/>
  <c r="G21" i="3"/>
  <c r="G16" i="3"/>
  <c r="E88" i="9"/>
  <c r="L97" i="9" s="1"/>
  <c r="E86" i="12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P52" i="9" a="1"/>
  <c r="P21" i="9" a="1"/>
  <c r="P59" i="9" a="1"/>
  <c r="P83" i="9" a="1"/>
  <c r="P13" i="9" a="1"/>
  <c r="P79" i="9" a="1"/>
  <c r="P78" i="9" a="1"/>
  <c r="P22" i="9" a="1"/>
  <c r="P29" i="9" a="1"/>
  <c r="P9" i="9" a="1"/>
  <c r="P20" i="9" a="1"/>
  <c r="P55" i="9" a="1"/>
  <c r="P66" i="9" a="1"/>
  <c r="P51" i="9" a="1"/>
  <c r="P37" i="9" a="1"/>
  <c r="P49" i="9" a="1"/>
  <c r="P3" i="9" a="1"/>
  <c r="P30" i="9" a="1"/>
  <c r="P5" i="9" a="1"/>
  <c r="P16" i="9" a="1"/>
  <c r="P39" i="9" a="1"/>
  <c r="P4" i="9" a="1"/>
  <c r="P75" i="9" a="1"/>
  <c r="P2" i="9" a="1"/>
  <c r="P47" i="9" a="1"/>
  <c r="P50" i="9" a="1"/>
  <c r="P15" i="9" a="1"/>
  <c r="P11" i="9" a="1"/>
  <c r="P67" i="9" a="1"/>
  <c r="P14" i="9" a="1"/>
  <c r="P46" i="9" a="1"/>
  <c r="P44" i="9" a="1"/>
  <c r="P23" i="9" a="1"/>
  <c r="P36" i="9" a="1"/>
  <c r="P54" i="9" a="1"/>
  <c r="P17" i="9" a="1"/>
  <c r="P76" i="9" a="1"/>
  <c r="P84" i="9" a="1"/>
  <c r="P34" i="9" a="1"/>
  <c r="P72" i="9" a="1"/>
  <c r="P82" i="9" a="1"/>
  <c r="P10" i="9" a="1"/>
  <c r="P40" i="9" a="1"/>
  <c r="P41" i="9" a="1"/>
  <c r="P60" i="9" a="1"/>
  <c r="P35" i="9" a="1"/>
  <c r="P6" i="9" a="1"/>
  <c r="P62" i="9" a="1"/>
  <c r="P38" i="9" a="1"/>
  <c r="P25" i="9" a="1"/>
  <c r="P19" i="9" a="1"/>
  <c r="P80" i="9" a="1"/>
  <c r="P27" i="9" a="1"/>
  <c r="P63" i="9" a="1"/>
  <c r="P69" i="9" a="1"/>
  <c r="P33" i="9" a="1"/>
  <c r="P24" i="9" a="1"/>
  <c r="P71" i="9" a="1"/>
  <c r="P74" i="9" a="1"/>
  <c r="P58" i="9" a="1"/>
  <c r="P32" i="9" a="1"/>
  <c r="P7" i="9" a="1"/>
  <c r="P65" i="9" a="1"/>
  <c r="P18" i="9" a="1"/>
  <c r="P85" i="9" a="1"/>
  <c r="P73" i="9" a="1"/>
  <c r="P43" i="9" a="1"/>
  <c r="P56" i="9" a="1"/>
  <c r="P48" i="9" a="1"/>
  <c r="P12" i="9" a="1"/>
  <c r="P42" i="9" a="1"/>
  <c r="P31" i="9" a="1"/>
  <c r="P64" i="9" a="1"/>
  <c r="P45" i="9" a="1"/>
  <c r="P53" i="9" a="1"/>
  <c r="P77" i="9" a="1"/>
  <c r="P81" i="9" a="1"/>
  <c r="P70" i="9" a="1"/>
  <c r="P26" i="9" a="1"/>
  <c r="P57" i="9" a="1"/>
  <c r="P8" i="9" a="1"/>
  <c r="P68" i="9" a="1"/>
  <c r="P28" i="9" a="1"/>
  <c r="P61" i="9" a="1"/>
  <c r="P86" i="9" a="1"/>
  <c r="H21" i="9" l="1"/>
  <c r="P2" i="9"/>
  <c r="H16" i="9"/>
  <c r="I2" i="9"/>
  <c r="L2" i="9" s="1"/>
  <c r="I13" i="9"/>
  <c r="L13" i="9" s="1"/>
  <c r="I21" i="9"/>
  <c r="L21" i="9" s="1"/>
  <c r="I33" i="9"/>
  <c r="L33" i="9" s="1"/>
  <c r="I41" i="9"/>
  <c r="L41" i="9" s="1"/>
  <c r="I49" i="9"/>
  <c r="L49" i="9" s="1"/>
  <c r="I57" i="9"/>
  <c r="L57" i="9" s="1"/>
  <c r="I61" i="9"/>
  <c r="L61" i="9" s="1"/>
  <c r="I85" i="9"/>
  <c r="L85" i="9" s="1"/>
  <c r="I10" i="9"/>
  <c r="L10" i="9" s="1"/>
  <c r="I18" i="9"/>
  <c r="L18" i="9" s="1"/>
  <c r="I26" i="9"/>
  <c r="L26" i="9" s="1"/>
  <c r="I30" i="9"/>
  <c r="L30" i="9" s="1"/>
  <c r="I38" i="9"/>
  <c r="L38" i="9" s="1"/>
  <c r="I46" i="9"/>
  <c r="L46" i="9" s="1"/>
  <c r="I54" i="9"/>
  <c r="L54" i="9" s="1"/>
  <c r="I62" i="9"/>
  <c r="L62" i="9" s="1"/>
  <c r="I70" i="9"/>
  <c r="L70" i="9" s="1"/>
  <c r="I82" i="9"/>
  <c r="L82" i="9" s="1"/>
  <c r="I3" i="9"/>
  <c r="L3" i="9" s="1"/>
  <c r="I11" i="9"/>
  <c r="L11" i="9" s="1"/>
  <c r="I19" i="9"/>
  <c r="L19" i="9" s="1"/>
  <c r="I27" i="9"/>
  <c r="L27" i="9" s="1"/>
  <c r="I35" i="9"/>
  <c r="L35" i="9" s="1"/>
  <c r="I43" i="9"/>
  <c r="L43" i="9" s="1"/>
  <c r="I51" i="9"/>
  <c r="L51" i="9" s="1"/>
  <c r="I59" i="9"/>
  <c r="L59" i="9" s="1"/>
  <c r="I67" i="9"/>
  <c r="L67" i="9" s="1"/>
  <c r="I83" i="9"/>
  <c r="L83" i="9" s="1"/>
  <c r="I9" i="9"/>
  <c r="L9" i="9" s="1"/>
  <c r="I17" i="9"/>
  <c r="L17" i="9" s="1"/>
  <c r="I29" i="9"/>
  <c r="L29" i="9" s="1"/>
  <c r="I37" i="9"/>
  <c r="L37" i="9" s="1"/>
  <c r="I45" i="9"/>
  <c r="L45" i="9" s="1"/>
  <c r="I53" i="9"/>
  <c r="L53" i="9" s="1"/>
  <c r="I65" i="9"/>
  <c r="L65" i="9" s="1"/>
  <c r="I81" i="9"/>
  <c r="L81" i="9" s="1"/>
  <c r="I6" i="9"/>
  <c r="L6" i="9" s="1"/>
  <c r="I14" i="9"/>
  <c r="L14" i="9" s="1"/>
  <c r="I22" i="9"/>
  <c r="L22" i="9" s="1"/>
  <c r="I34" i="9"/>
  <c r="L34" i="9" s="1"/>
  <c r="I42" i="9"/>
  <c r="L42" i="9" s="1"/>
  <c r="I50" i="9"/>
  <c r="L50" i="9" s="1"/>
  <c r="I58" i="9"/>
  <c r="L58" i="9" s="1"/>
  <c r="I66" i="9"/>
  <c r="L66" i="9" s="1"/>
  <c r="I74" i="9"/>
  <c r="L74" i="9" s="1"/>
  <c r="I86" i="9"/>
  <c r="L86" i="9" s="1"/>
  <c r="I7" i="9"/>
  <c r="L7" i="9" s="1"/>
  <c r="I15" i="9"/>
  <c r="L15" i="9" s="1"/>
  <c r="I23" i="9"/>
  <c r="L23" i="9" s="1"/>
  <c r="I31" i="9"/>
  <c r="L31" i="9" s="1"/>
  <c r="I39" i="9"/>
  <c r="L39" i="9" s="1"/>
  <c r="I47" i="9"/>
  <c r="L47" i="9" s="1"/>
  <c r="I55" i="9"/>
  <c r="L55" i="9" s="1"/>
  <c r="I63" i="9"/>
  <c r="L63" i="9" s="1"/>
  <c r="I71" i="9"/>
  <c r="L71" i="9" s="1"/>
  <c r="I75" i="9"/>
  <c r="L75" i="9" s="1"/>
  <c r="I79" i="9"/>
  <c r="L79" i="9" s="1"/>
  <c r="I4" i="9"/>
  <c r="L4" i="9" s="1"/>
  <c r="I8" i="9"/>
  <c r="L8" i="9" s="1"/>
  <c r="I12" i="9"/>
  <c r="L12" i="9" s="1"/>
  <c r="I16" i="9"/>
  <c r="L16" i="9" s="1"/>
  <c r="I20" i="9"/>
  <c r="L20" i="9" s="1"/>
  <c r="I24" i="9"/>
  <c r="L24" i="9" s="1"/>
  <c r="I28" i="9"/>
  <c r="L28" i="9" s="1"/>
  <c r="I32" i="9"/>
  <c r="L32" i="9" s="1"/>
  <c r="I36" i="9"/>
  <c r="L36" i="9" s="1"/>
  <c r="I44" i="9"/>
  <c r="L44" i="9" s="1"/>
  <c r="I48" i="9"/>
  <c r="L48" i="9" s="1"/>
  <c r="I52" i="9"/>
  <c r="L52" i="9" s="1"/>
  <c r="I56" i="9"/>
  <c r="I60" i="9"/>
  <c r="L60" i="9" s="1"/>
  <c r="I64" i="9"/>
  <c r="L64" i="9" s="1"/>
  <c r="I68" i="9"/>
  <c r="L68" i="9" s="1"/>
  <c r="I72" i="9"/>
  <c r="L72" i="9" s="1"/>
  <c r="I76" i="9"/>
  <c r="L76" i="9" s="1"/>
  <c r="I80" i="9"/>
  <c r="L80" i="9" s="1"/>
  <c r="I84" i="9"/>
  <c r="L84" i="9" s="1"/>
  <c r="I5" i="9"/>
  <c r="L5" i="9" s="1"/>
  <c r="I25" i="9"/>
  <c r="L25" i="9" s="1"/>
  <c r="I73" i="9"/>
  <c r="L73" i="9" s="1"/>
  <c r="I78" i="9"/>
  <c r="L78" i="9" s="1"/>
  <c r="I77" i="9"/>
  <c r="L77" i="9" s="1"/>
  <c r="I69" i="9"/>
  <c r="L69" i="9" s="1"/>
  <c r="L40" i="9"/>
  <c r="L56" i="9"/>
  <c r="P13" i="9"/>
  <c r="P21" i="9"/>
  <c r="P33" i="9"/>
  <c r="P41" i="9"/>
  <c r="P49" i="9"/>
  <c r="P57" i="9"/>
  <c r="P61" i="9"/>
  <c r="P85" i="9"/>
  <c r="P10" i="9"/>
  <c r="P18" i="9"/>
  <c r="P26" i="9"/>
  <c r="P30" i="9"/>
  <c r="P38" i="9"/>
  <c r="P46" i="9"/>
  <c r="P54" i="9"/>
  <c r="P62" i="9"/>
  <c r="P70" i="9"/>
  <c r="P82" i="9"/>
  <c r="P3" i="9"/>
  <c r="P11" i="9"/>
  <c r="P19" i="9"/>
  <c r="P27" i="9"/>
  <c r="P35" i="9"/>
  <c r="P43" i="9"/>
  <c r="P51" i="9"/>
  <c r="P59" i="9"/>
  <c r="P67" i="9"/>
  <c r="P83" i="9"/>
  <c r="P9" i="9"/>
  <c r="P17" i="9"/>
  <c r="P29" i="9"/>
  <c r="P37" i="9"/>
  <c r="P45" i="9"/>
  <c r="P53" i="9"/>
  <c r="P65" i="9"/>
  <c r="P81" i="9"/>
  <c r="P6" i="9"/>
  <c r="P14" i="9"/>
  <c r="P22" i="9"/>
  <c r="P34" i="9"/>
  <c r="P42" i="9"/>
  <c r="P50" i="9"/>
  <c r="P58" i="9"/>
  <c r="P66" i="9"/>
  <c r="P74" i="9"/>
  <c r="P86" i="9"/>
  <c r="P7" i="9"/>
  <c r="P15" i="9"/>
  <c r="P23" i="9"/>
  <c r="P31" i="9"/>
  <c r="P39" i="9"/>
  <c r="P47" i="9"/>
  <c r="P55" i="9"/>
  <c r="P63" i="9"/>
  <c r="P71" i="9"/>
  <c r="P75" i="9"/>
  <c r="P79" i="9"/>
  <c r="P4" i="9"/>
  <c r="P8" i="9"/>
  <c r="P12" i="9"/>
  <c r="P16" i="9"/>
  <c r="P20" i="9"/>
  <c r="P24" i="9"/>
  <c r="P28" i="9"/>
  <c r="P32" i="9"/>
  <c r="P36" i="9"/>
  <c r="P40" i="9"/>
  <c r="P44" i="9"/>
  <c r="P48" i="9"/>
  <c r="P52" i="9"/>
  <c r="P56" i="9"/>
  <c r="P60" i="9"/>
  <c r="P64" i="9"/>
  <c r="P68" i="9"/>
  <c r="P72" i="9"/>
  <c r="P76" i="9"/>
  <c r="P80" i="9"/>
  <c r="P84" i="9"/>
  <c r="P5" i="9"/>
  <c r="P25" i="9"/>
  <c r="P73" i="9"/>
  <c r="P78" i="9"/>
  <c r="P77" i="9"/>
  <c r="P69" i="9"/>
  <c r="N79" i="9" l="1"/>
  <c r="L88" i="9"/>
  <c r="L91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<sst xmlns="http://schemas.openxmlformats.org/spreadsheetml/2006/main" count="4038" uniqueCount="683">
  <si>
    <t>ABEV3</t>
  </si>
  <si>
    <t>AMBEV S/A</t>
  </si>
  <si>
    <t>ON</t>
  </si>
  <si>
    <t>ALPA4</t>
  </si>
  <si>
    <t>ALPARGATAS</t>
  </si>
  <si>
    <t>PN N1</t>
  </si>
  <si>
    <t>AMER3</t>
  </si>
  <si>
    <t>AMERICANAS</t>
  </si>
  <si>
    <t>ON NM</t>
  </si>
  <si>
    <t>ASAI3</t>
  </si>
  <si>
    <t>ASSAI</t>
  </si>
  <si>
    <t>AZUL4</t>
  </si>
  <si>
    <t>AZUL</t>
  </si>
  <si>
    <t>PN N2</t>
  </si>
  <si>
    <t>B3SA3</t>
  </si>
  <si>
    <t>B3</t>
  </si>
  <si>
    <t>BBAS3</t>
  </si>
  <si>
    <t>BRASIL</t>
  </si>
  <si>
    <t>BBDC3</t>
  </si>
  <si>
    <t>BRADESCO</t>
  </si>
  <si>
    <t>ON EJ N1</t>
  </si>
  <si>
    <t>BBDC4</t>
  </si>
  <si>
    <t>PN EJ N1</t>
  </si>
  <si>
    <t>BBSE3</t>
  </si>
  <si>
    <t>BBSEGURIDADE</t>
  </si>
  <si>
    <t>BEEF3</t>
  </si>
  <si>
    <t>MINERVA</t>
  </si>
  <si>
    <t>BIDI11</t>
  </si>
  <si>
    <t>BANCO INTER</t>
  </si>
  <si>
    <t>UNT N2</t>
  </si>
  <si>
    <t>BIDI4</t>
  </si>
  <si>
    <t>BPAC11</t>
  </si>
  <si>
    <t>BTGP BANCO</t>
  </si>
  <si>
    <t>BPAN4</t>
  </si>
  <si>
    <t>BANCO PAN</t>
  </si>
  <si>
    <t>BRAP4</t>
  </si>
  <si>
    <t>BRADESPAR</t>
  </si>
  <si>
    <t>BRDT3</t>
  </si>
  <si>
    <t>PETROBRAS BR</t>
  </si>
  <si>
    <t>BRFS3</t>
  </si>
  <si>
    <t>BRF SA</t>
  </si>
  <si>
    <t>BRKM5</t>
  </si>
  <si>
    <t>BRASKEM</t>
  </si>
  <si>
    <t>PNA N1</t>
  </si>
  <si>
    <t>BRML3</t>
  </si>
  <si>
    <t>BR MALLS PAR</t>
  </si>
  <si>
    <t>CASH3</t>
  </si>
  <si>
    <t>MELIUZ</t>
  </si>
  <si>
    <t>CCRO3</t>
  </si>
  <si>
    <t>CCR SA</t>
  </si>
  <si>
    <t>CIEL3</t>
  </si>
  <si>
    <t>CIELO</t>
  </si>
  <si>
    <t>CMIG4</t>
  </si>
  <si>
    <t>CEMIG</t>
  </si>
  <si>
    <t>COGN3</t>
  </si>
  <si>
    <t>COGNA ON</t>
  </si>
  <si>
    <t>CPFE3</t>
  </si>
  <si>
    <t>CPFL ENERGIA</t>
  </si>
  <si>
    <t>ON ED NM</t>
  </si>
  <si>
    <t>187.732.538</t>
  </si>
  <si>
    <t>CPLE6</t>
  </si>
  <si>
    <t>COPEL</t>
  </si>
  <si>
    <t>PNB N1</t>
  </si>
  <si>
    <t>CRFB3</t>
  </si>
  <si>
    <t>CARREFOUR BR</t>
  </si>
  <si>
    <t>CSAN3</t>
  </si>
  <si>
    <t>COSAN</t>
  </si>
  <si>
    <t>CSNA3</t>
  </si>
  <si>
    <t>SID NACIONAL</t>
  </si>
  <si>
    <t>CVCB3</t>
  </si>
  <si>
    <t>CVC BRASIL</t>
  </si>
  <si>
    <t>CYRE3</t>
  </si>
  <si>
    <t>CYRELA REALT</t>
  </si>
  <si>
    <t>DXCO3</t>
  </si>
  <si>
    <t>DEXCO</t>
  </si>
  <si>
    <t>ECOR3</t>
  </si>
  <si>
    <t>ECORODOVIAS</t>
  </si>
  <si>
    <t>EGIE3</t>
  </si>
  <si>
    <t>ENGIE BRASIL</t>
  </si>
  <si>
    <t>ELET3</t>
  </si>
  <si>
    <t>ELETROBRAS</t>
  </si>
  <si>
    <t>ON N1</t>
  </si>
  <si>
    <t>ELET6</t>
  </si>
  <si>
    <t>EMBR3</t>
  </si>
  <si>
    <t>EMBRAER</t>
  </si>
  <si>
    <t>ENBR3</t>
  </si>
  <si>
    <t>ENERGIAS BR</t>
  </si>
  <si>
    <t>ENEV3</t>
  </si>
  <si>
    <t>ENEVA</t>
  </si>
  <si>
    <t>ENGI11</t>
  </si>
  <si>
    <t>ENERGISA</t>
  </si>
  <si>
    <t>EQTL3</t>
  </si>
  <si>
    <t>EQUATORIAL</t>
  </si>
  <si>
    <t>EZTC3</t>
  </si>
  <si>
    <t>EZTEC</t>
  </si>
  <si>
    <t>FLRY3</t>
  </si>
  <si>
    <t>FLEURY</t>
  </si>
  <si>
    <t>GGBR4</t>
  </si>
  <si>
    <t>GERDAU</t>
  </si>
  <si>
    <t>GNDI3</t>
  </si>
  <si>
    <t>INTERMEDICA</t>
  </si>
  <si>
    <t>GOAU4</t>
  </si>
  <si>
    <t>GERDAU MET</t>
  </si>
  <si>
    <t>GOLL4</t>
  </si>
  <si>
    <t>GOL</t>
  </si>
  <si>
    <t>HAPV3</t>
  </si>
  <si>
    <t>HAPVIDA</t>
  </si>
  <si>
    <t>HGTX3</t>
  </si>
  <si>
    <t>CIA HERING</t>
  </si>
  <si>
    <t>HYPE3</t>
  </si>
  <si>
    <t>HYPERA</t>
  </si>
  <si>
    <t>IGTA3</t>
  </si>
  <si>
    <t>IGUATEMI</t>
  </si>
  <si>
    <t>IRBR3</t>
  </si>
  <si>
    <t>IRBBRASIL RE</t>
  </si>
  <si>
    <t>ITSA4</t>
  </si>
  <si>
    <t>ITAUSA</t>
  </si>
  <si>
    <t>PN ED N1</t>
  </si>
  <si>
    <t>ITUB4</t>
  </si>
  <si>
    <t>ITAUUNIBANCO</t>
  </si>
  <si>
    <t>JBSS3</t>
  </si>
  <si>
    <t>JBS</t>
  </si>
  <si>
    <t>JHSF3</t>
  </si>
  <si>
    <t>JHSF PART</t>
  </si>
  <si>
    <t>KLBN11</t>
  </si>
  <si>
    <t>KLABIN S/A</t>
  </si>
  <si>
    <t>LAME4</t>
  </si>
  <si>
    <t>LOJAS AMERIC</t>
  </si>
  <si>
    <t>LCAM3</t>
  </si>
  <si>
    <t>LOCAMERICA</t>
  </si>
  <si>
    <t>LREN3</t>
  </si>
  <si>
    <t>LOJAS RENNER</t>
  </si>
  <si>
    <t>LWSA3</t>
  </si>
  <si>
    <t>LOCAWEB</t>
  </si>
  <si>
    <t>MGLU3</t>
  </si>
  <si>
    <t>MAGAZ LUIZA</t>
  </si>
  <si>
    <t>MRFG3</t>
  </si>
  <si>
    <t>MARFRIG</t>
  </si>
  <si>
    <t>MRVE3</t>
  </si>
  <si>
    <t>MRV</t>
  </si>
  <si>
    <t>MULT3</t>
  </si>
  <si>
    <t>MULTIPLAN</t>
  </si>
  <si>
    <t>ON N2</t>
  </si>
  <si>
    <t>NTCO3</t>
  </si>
  <si>
    <t>GRUPO NATURA</t>
  </si>
  <si>
    <t>PCAR3</t>
  </si>
  <si>
    <t>P.ACUCAR-CBD</t>
  </si>
  <si>
    <t>PETR3</t>
  </si>
  <si>
    <t>PETROBRAS</t>
  </si>
  <si>
    <t>PETR4</t>
  </si>
  <si>
    <t>PETZ3</t>
  </si>
  <si>
    <t>PETZ</t>
  </si>
  <si>
    <t>PRIO3</t>
  </si>
  <si>
    <t>PETRORIO</t>
  </si>
  <si>
    <t>QUAL3</t>
  </si>
  <si>
    <t>QUALICORP</t>
  </si>
  <si>
    <t>RADL3</t>
  </si>
  <si>
    <t>RAIADROGASIL</t>
  </si>
  <si>
    <t>RAIL3</t>
  </si>
  <si>
    <t>RUMO S.A.</t>
  </si>
  <si>
    <t>RDOR3</t>
  </si>
  <si>
    <t>REDE D OR</t>
  </si>
  <si>
    <t>RENT3</t>
  </si>
  <si>
    <t>LOCALIZA</t>
  </si>
  <si>
    <t>SANB11</t>
  </si>
  <si>
    <t>SANTANDER BR</t>
  </si>
  <si>
    <t>UNT</t>
  </si>
  <si>
    <t>SBSP3</t>
  </si>
  <si>
    <t>SABESP</t>
  </si>
  <si>
    <t>SULA11</t>
  </si>
  <si>
    <t>SUL AMERICA</t>
  </si>
  <si>
    <t>SUZB3</t>
  </si>
  <si>
    <t>SUZANO S.A.</t>
  </si>
  <si>
    <t>TAEE11</t>
  </si>
  <si>
    <t>TAESA</t>
  </si>
  <si>
    <t>218.568.234</t>
  </si>
  <si>
    <t>TIMS3</t>
  </si>
  <si>
    <t>TIM</t>
  </si>
  <si>
    <t>TOTS3</t>
  </si>
  <si>
    <t>TOTVS</t>
  </si>
  <si>
    <t>UGPA3</t>
  </si>
  <si>
    <t>ULTRAPAR</t>
  </si>
  <si>
    <t>USIM5</t>
  </si>
  <si>
    <t>USIMINAS</t>
  </si>
  <si>
    <t>PNA EDJ N1</t>
  </si>
  <si>
    <t>VALE3</t>
  </si>
  <si>
    <t>VALE</t>
  </si>
  <si>
    <t>VIIA3</t>
  </si>
  <si>
    <t>VIA</t>
  </si>
  <si>
    <t>VIVT3</t>
  </si>
  <si>
    <t>TELEF BRASIL</t>
  </si>
  <si>
    <t>WEGE3</t>
  </si>
  <si>
    <t>WEG</t>
  </si>
  <si>
    <t>YDUQ3</t>
  </si>
  <si>
    <t>YDUQS PART</t>
  </si>
  <si>
    <t>ALSO3</t>
  </si>
  <si>
    <t>ALIANSCSONAE</t>
  </si>
  <si>
    <t>ARZZ3</t>
  </si>
  <si>
    <t>AREZZO CO</t>
  </si>
  <si>
    <t>CMIN3</t>
  </si>
  <si>
    <t>CSNMINERACAO</t>
  </si>
  <si>
    <t>IGTI11</t>
  </si>
  <si>
    <t>IGUATEMI S.A</t>
  </si>
  <si>
    <t>UNT N1</t>
  </si>
  <si>
    <t>RAIZ4</t>
  </si>
  <si>
    <t>RAIZEN</t>
  </si>
  <si>
    <t>RECV3</t>
  </si>
  <si>
    <t>PETRORECSA</t>
  </si>
  <si>
    <t>RRRP3</t>
  </si>
  <si>
    <t>3R PETROLEUM</t>
  </si>
  <si>
    <t>SLCE3</t>
  </si>
  <si>
    <t>SLC AGRICOLA</t>
  </si>
  <si>
    <t>SMTO3</t>
  </si>
  <si>
    <t>SAO MARTINHO</t>
  </si>
  <si>
    <t>SOMA3</t>
  </si>
  <si>
    <t>GRUPO SOMA</t>
  </si>
  <si>
    <t>VAMO3</t>
  </si>
  <si>
    <t>VAMOS</t>
  </si>
  <si>
    <t>VBBR3</t>
  </si>
  <si>
    <t>VIBRA</t>
  </si>
  <si>
    <t>ON EJ</t>
  </si>
  <si>
    <t>ALOS3</t>
  </si>
  <si>
    <t>ALLOS</t>
  </si>
  <si>
    <t>ON EJ NM</t>
  </si>
  <si>
    <t>LWSA</t>
  </si>
  <si>
    <t>TRPL4</t>
  </si>
  <si>
    <t>TRAN PAULIST</t>
  </si>
  <si>
    <t>395.801.044</t>
  </si>
  <si>
    <t>VIVA3</t>
  </si>
  <si>
    <t>VIVARA S.A.</t>
  </si>
  <si>
    <t>4.273.841.357</t>
  </si>
  <si>
    <t>AURE3</t>
  </si>
  <si>
    <t>AUREN</t>
  </si>
  <si>
    <t>318.338.365</t>
  </si>
  <si>
    <t>AZZA3</t>
  </si>
  <si>
    <t>AZZAS 2154</t>
  </si>
  <si>
    <t>5.196.371.458</t>
  </si>
  <si>
    <t>616.186.808</t>
  </si>
  <si>
    <t>1.467.570.789</t>
  </si>
  <si>
    <t>5.106.488.516</t>
  </si>
  <si>
    <t>2.842.496.541</t>
  </si>
  <si>
    <t>265.876.767</t>
  </si>
  <si>
    <t>BRAV3</t>
  </si>
  <si>
    <t>BRAVA</t>
  </si>
  <si>
    <t>1.404.794.900</t>
  </si>
  <si>
    <t>CXSE3</t>
  </si>
  <si>
    <t>CAIXA SEGURI</t>
  </si>
  <si>
    <t>600.000.000</t>
  </si>
  <si>
    <t>CEAB3</t>
  </si>
  <si>
    <t>CEA MODAS</t>
  </si>
  <si>
    <t>1.904.057.894</t>
  </si>
  <si>
    <t>1.646.519.336</t>
  </si>
  <si>
    <t>CURY3</t>
  </si>
  <si>
    <t>CURY S/A</t>
  </si>
  <si>
    <t>256.055.995</t>
  </si>
  <si>
    <t>DIRR3</t>
  </si>
  <si>
    <t>DIRECIONAL</t>
  </si>
  <si>
    <t>325.640.184</t>
  </si>
  <si>
    <t>1.821.923.647</t>
  </si>
  <si>
    <t>733.564.938</t>
  </si>
  <si>
    <t>1.246.479.596</t>
  </si>
  <si>
    <t>211.401.696</t>
  </si>
  <si>
    <t>81.838.787</t>
  </si>
  <si>
    <t>ISAE4</t>
  </si>
  <si>
    <t>ISA ENERGIA</t>
  </si>
  <si>
    <t>5.853.286.928</t>
  </si>
  <si>
    <t>4.611.334.219</t>
  </si>
  <si>
    <t>977.042.684</t>
  </si>
  <si>
    <t>POMO4</t>
  </si>
  <si>
    <t>MARCOPOLO</t>
  </si>
  <si>
    <t>PN EDJ N2</t>
  </si>
  <si>
    <t>MOTV3</t>
  </si>
  <si>
    <t>MOTIVA SA</t>
  </si>
  <si>
    <t>NATU3</t>
  </si>
  <si>
    <t>NATURA</t>
  </si>
  <si>
    <t>433.412.603</t>
  </si>
  <si>
    <t>ON EDJ N2</t>
  </si>
  <si>
    <t>2.643.091.977</t>
  </si>
  <si>
    <t>4.410.960.450</t>
  </si>
  <si>
    <t>PSSA3</t>
  </si>
  <si>
    <t>PORTO SEGURO</t>
  </si>
  <si>
    <t>181.016.454</t>
  </si>
  <si>
    <t>1.091.469.308</t>
  </si>
  <si>
    <t>596.215.913</t>
  </si>
  <si>
    <t>360.347.199</t>
  </si>
  <si>
    <t>STBP3</t>
  </si>
  <si>
    <t>SANTOS BRP</t>
  </si>
  <si>
    <t>727.975.012</t>
  </si>
  <si>
    <t>SMFT3</t>
  </si>
  <si>
    <t>SMART FIT</t>
  </si>
  <si>
    <t>738.065.812</t>
  </si>
  <si>
    <t>804.628.136</t>
  </si>
  <si>
    <t>1.071.443.332</t>
  </si>
  <si>
    <t>4.267.772.018</t>
  </si>
  <si>
    <t>1.485.954.732</t>
  </si>
  <si>
    <t>15 ações de 84  do indice (18%) representam 63% de participação no indice</t>
  </si>
  <si>
    <t>Ano</t>
  </si>
  <si>
    <t>Nominal</t>
  </si>
  <si>
    <t>Pregão</t>
  </si>
  <si>
    <t>US$</t>
  </si>
  <si>
    <t>2023/8</t>
  </si>
  <si>
    <t>97.926,34</t>
  </si>
  <si>
    <t>18.605,86</t>
  </si>
  <si>
    <t>96.120,85</t>
  </si>
  <si>
    <t>17.614,88</t>
  </si>
  <si>
    <t>100.774,57</t>
  </si>
  <si>
    <t>17.941,63</t>
  </si>
  <si>
    <t>63.569,62</t>
  </si>
  <si>
    <t>12.512,47</t>
  </si>
  <si>
    <t>89.992,73</t>
  </si>
  <si>
    <t>22.033,28</t>
  </si>
  <si>
    <t>69.814,74</t>
  </si>
  <si>
    <t>17.928,61</t>
  </si>
  <si>
    <t>59.588,70</t>
  </si>
  <si>
    <t>18.206,70</t>
  </si>
  <si>
    <t>37.497,47</t>
  </si>
  <si>
    <t>9.075,77</t>
  </si>
  <si>
    <t>43.199,95</t>
  </si>
  <si>
    <t>10.718,89</t>
  </si>
  <si>
    <t>44.965,66</t>
  </si>
  <si>
    <t>17.154,15</t>
  </si>
  <si>
    <t>45.044,03</t>
  </si>
  <si>
    <t>19.901,05</t>
  </si>
  <si>
    <t>52.481,44</t>
  </si>
  <si>
    <t>25.187,64</t>
  </si>
  <si>
    <t>48.668,29</t>
  </si>
  <si>
    <t>26.880,75</t>
  </si>
  <si>
    <t>58.192,08</t>
  </si>
  <si>
    <t>31.157,08</t>
  </si>
  <si>
    <t>36.234,69</t>
  </si>
  <si>
    <t>15.022,05</t>
  </si>
  <si>
    <t>29.435,11</t>
  </si>
  <si>
    <t>12.872,51</t>
  </si>
  <si>
    <t>41.179,16</t>
  </si>
  <si>
    <t>19.253,39</t>
  </si>
  <si>
    <t>32.847,61</t>
  </si>
  <si>
    <t>14.270,40</t>
  </si>
  <si>
    <t>23.609,97</t>
  </si>
  <si>
    <t>8.673,12</t>
  </si>
  <si>
    <t>17.604,12</t>
  </si>
  <si>
    <t>5.633,50</t>
  </si>
  <si>
    <t>9.994,89</t>
  </si>
  <si>
    <t>2.755,83</t>
  </si>
  <si>
    <t>8.370,88</t>
  </si>
  <si>
    <t>2.160,56</t>
  </si>
  <si>
    <t>10.005,87</t>
  </si>
  <si>
    <t>3.627,48</t>
  </si>
  <si>
    <t>13.287,39</t>
  </si>
  <si>
    <t>6.780,66</t>
  </si>
  <si>
    <t>5.057,19</t>
  </si>
  <si>
    <t>3.832,95</t>
  </si>
  <si>
    <t>4.760,58</t>
  </si>
  <si>
    <t>4.036,44</t>
  </si>
  <si>
    <t>6.955,54</t>
  </si>
  <si>
    <t>6.691,24</t>
  </si>
  <si>
    <t>4.390,05</t>
  </si>
  <si>
    <t>4.513,73</t>
  </si>
  <si>
    <t>2.138,28</t>
  </si>
  <si>
    <t>2.407,97</t>
  </si>
  <si>
    <t>380,09</t>
  </si>
  <si>
    <t>2.723,60</t>
  </si>
  <si>
    <t>7,15</t>
  </si>
  <si>
    <t>1.524,33</t>
  </si>
  <si>
    <t>0,68</t>
  </si>
  <si>
    <t>1.147,48</t>
  </si>
  <si>
    <t>0,025321861410</t>
  </si>
  <si>
    <t>387,46</t>
  </si>
  <si>
    <t>0,006373615710</t>
  </si>
  <si>
    <t>405,29</t>
  </si>
  <si>
    <t>0,000316106150</t>
  </si>
  <si>
    <t>869,29</t>
  </si>
  <si>
    <t>0,000012531500</t>
  </si>
  <si>
    <t>476,97</t>
  </si>
  <si>
    <t>0,000005535420</t>
  </si>
  <si>
    <t>455,70</t>
  </si>
  <si>
    <t>0,000006318260</t>
  </si>
  <si>
    <t>1.447,26</t>
  </si>
  <si>
    <t>0,000001103710</t>
  </si>
  <si>
    <t>653,71</t>
  </si>
  <si>
    <t>0,000000209110</t>
  </si>
  <si>
    <t>500,29</t>
  </si>
  <si>
    <t>122.560,38</t>
  </si>
  <si>
    <t>25.874,09</t>
  </si>
  <si>
    <t>121.570,15</t>
  </si>
  <si>
    <t>26.265,19</t>
  </si>
  <si>
    <t>130.776,27</t>
  </si>
  <si>
    <t>26.282,77</t>
  </si>
  <si>
    <t>119.527,63</t>
  </si>
  <si>
    <t>29.486,26</t>
  </si>
  <si>
    <t>117.203,20</t>
  </si>
  <si>
    <t>28.867,07</t>
  </si>
  <si>
    <t>89.820,09</t>
  </si>
  <si>
    <t>27.195,82</t>
  </si>
  <si>
    <t>76.989,78</t>
  </si>
  <si>
    <t>24.458,39</t>
  </si>
  <si>
    <t>64.924,51</t>
  </si>
  <si>
    <t>20.474,53</t>
  </si>
  <si>
    <t>58.051,61</t>
  </si>
  <si>
    <t>19.283,43</t>
  </si>
  <si>
    <t>61.895,98</t>
  </si>
  <si>
    <t>27.706,01</t>
  </si>
  <si>
    <t>63.312,46</t>
  </si>
  <si>
    <t>30.938,46</t>
  </si>
  <si>
    <t>68.394,33</t>
  </si>
  <si>
    <t>39.305,07</t>
  </si>
  <si>
    <t>71.632,90</t>
  </si>
  <si>
    <t>43.597,27</t>
  </si>
  <si>
    <t>72.995,69</t>
  </si>
  <si>
    <t>43.400,73</t>
  </si>
  <si>
    <t>69.349,40</t>
  </si>
  <si>
    <t>39.959,53</t>
  </si>
  <si>
    <t>73.516,81</t>
  </si>
  <si>
    <t>44.616,54</t>
  </si>
  <si>
    <t>65.790,81</t>
  </si>
  <si>
    <t>37.452,81</t>
  </si>
  <si>
    <t>44.526,36</t>
  </si>
  <si>
    <t>20.801,55</t>
  </si>
  <si>
    <t>33.629,47</t>
  </si>
  <si>
    <t>15.235,21</t>
  </si>
  <si>
    <t>26.196,25</t>
  </si>
  <si>
    <t>9.868,99</t>
  </si>
  <si>
    <t>22.236,39</t>
  </si>
  <si>
    <t>7.696,38</t>
  </si>
  <si>
    <t>14.471,23</t>
  </si>
  <si>
    <t>6.220,72</t>
  </si>
  <si>
    <t>17.889,05</t>
  </si>
  <si>
    <t>9.104,53</t>
  </si>
  <si>
    <t>18.951,48</t>
  </si>
  <si>
    <t>10.915,49</t>
  </si>
  <si>
    <t>17.091,60</t>
  </si>
  <si>
    <t>9.553,72</t>
  </si>
  <si>
    <t>12.299,06</t>
  </si>
  <si>
    <t>10.782,03</t>
  </si>
  <si>
    <t>13.617,32</t>
  </si>
  <si>
    <t>12.620,31</t>
  </si>
  <si>
    <t>7.039,95</t>
  </si>
  <si>
    <t>6.773,09</t>
  </si>
  <si>
    <t>4.861,23</t>
  </si>
  <si>
    <t>5.111,33</t>
  </si>
  <si>
    <t>5.510,97</t>
  </si>
  <si>
    <t>6.460,63</t>
  </si>
  <si>
    <t>375,45</t>
  </si>
  <si>
    <t>3.507,68</t>
  </si>
  <si>
    <t>6,78</t>
  </si>
  <si>
    <t>3.006,12</t>
  </si>
  <si>
    <t>0,60776859589</t>
  </si>
  <si>
    <t>1.785,96</t>
  </si>
  <si>
    <t>0,03208859007</t>
  </si>
  <si>
    <t>1.941,82</t>
  </si>
  <si>
    <t>0,00638510342</t>
  </si>
  <si>
    <t>3.179,14</t>
  </si>
  <si>
    <t>0,00033082158</t>
  </si>
  <si>
    <t>1.297,59</t>
  </si>
  <si>
    <t>0,00001635006</t>
  </si>
  <si>
    <t>1.720,97</t>
  </si>
  <si>
    <t>0,00002038456</t>
  </si>
  <si>
    <t>4.050,40</t>
  </si>
  <si>
    <t>0,00000808922</t>
  </si>
  <si>
    <t>2.507,93</t>
  </si>
  <si>
    <t>0,00000130684</t>
  </si>
  <si>
    <t>1.135,31</t>
  </si>
  <si>
    <t>ON      NM</t>
  </si>
  <si>
    <t>PN      N1</t>
  </si>
  <si>
    <t>PN      N2</t>
  </si>
  <si>
    <t>ON  ED  NM</t>
  </si>
  <si>
    <t>UNT     N2</t>
  </si>
  <si>
    <t>PN  EJ  N1</t>
  </si>
  <si>
    <t>PNA     N1</t>
  </si>
  <si>
    <t>PNB     N2</t>
  </si>
  <si>
    <t>ON      N2</t>
  </si>
  <si>
    <t>ON      N1</t>
  </si>
  <si>
    <t>PNB     N1</t>
  </si>
  <si>
    <t>POSI3</t>
  </si>
  <si>
    <t>POSITIVO TEC</t>
  </si>
  <si>
    <t>466.135.796</t>
  </si>
  <si>
    <t>1.338.601.375</t>
  </si>
  <si>
    <t>AXIA3</t>
  </si>
  <si>
    <t>AXIA ENERGIA</t>
  </si>
  <si>
    <t>1.945.846.761</t>
  </si>
  <si>
    <t>AXIA6</t>
  </si>
  <si>
    <t>270.655.585</t>
  </si>
  <si>
    <t>AXIA7</t>
  </si>
  <si>
    <t>PNC N1</t>
  </si>
  <si>
    <t>582.580.795</t>
  </si>
  <si>
    <t>132.447.688</t>
  </si>
  <si>
    <t>250.914.708</t>
  </si>
  <si>
    <t>462.883.017</t>
  </si>
  <si>
    <t>204.964.309</t>
  </si>
  <si>
    <t>1.914.692.857</t>
  </si>
  <si>
    <t>CSMG3</t>
  </si>
  <si>
    <t>COPASA</t>
  </si>
  <si>
    <t>188.467.895</t>
  </si>
  <si>
    <t>CPLE3</t>
  </si>
  <si>
    <t>1.709.534.925</t>
  </si>
  <si>
    <t>1.802.521.475</t>
  </si>
  <si>
    <t>160.988.231</t>
  </si>
  <si>
    <t>CYRE4</t>
  </si>
  <si>
    <t>PN NM</t>
  </si>
  <si>
    <t>48.543.949</t>
  </si>
  <si>
    <t>EMBJ3</t>
  </si>
  <si>
    <t>722.766.139</t>
  </si>
  <si>
    <t>358.053.350</t>
  </si>
  <si>
    <t>1.912.889.086</t>
  </si>
  <si>
    <t>357.310.487</t>
  </si>
  <si>
    <t>1.250.951.305</t>
  </si>
  <si>
    <t>447.150.822</t>
  </si>
  <si>
    <t>1.263.524.206</t>
  </si>
  <si>
    <t>830.615.826</t>
  </si>
  <si>
    <t>287.507.905</t>
  </si>
  <si>
    <t>ON ES NM</t>
  </si>
  <si>
    <t>5.970.522.444</t>
  </si>
  <si>
    <t>5.027.870.728</t>
  </si>
  <si>
    <t>792.355.216</t>
  </si>
  <si>
    <t>RENT4</t>
  </si>
  <si>
    <t>37.577.993</t>
  </si>
  <si>
    <t>981.927.306</t>
  </si>
  <si>
    <t>373.185.407</t>
  </si>
  <si>
    <t>727.730.867</t>
  </si>
  <si>
    <t>MBRF3</t>
  </si>
  <si>
    <t>767.248.368</t>
  </si>
  <si>
    <t>439.073.587</t>
  </si>
  <si>
    <t>1.002.196.725</t>
  </si>
  <si>
    <t>374.670.758</t>
  </si>
  <si>
    <t>320.022.221</t>
  </si>
  <si>
    <t>838.359.453</t>
  </si>
  <si>
    <t>2.943.171.983</t>
  </si>
  <si>
    <t>274.630.892</t>
  </si>
  <si>
    <t>762.017.253</t>
  </si>
  <si>
    <t>1.311.428.175</t>
  </si>
  <si>
    <t>1.198.936.529</t>
  </si>
  <si>
    <t>1.221.155.293</t>
  </si>
  <si>
    <t>621.445.261</t>
  </si>
  <si>
    <t>222.404.640</t>
  </si>
  <si>
    <t>467.471.342</t>
  </si>
  <si>
    <t>612.918.471</t>
  </si>
  <si>
    <t>533.980.424</t>
  </si>
  <si>
    <t>515.117.999</t>
  </si>
  <si>
    <t>3.688.870.616</t>
  </si>
  <si>
    <t>390.902.974</t>
  </si>
  <si>
    <t>1.192.531.648</t>
  </si>
  <si>
    <t>123.177.361</t>
  </si>
  <si>
    <t>261.365.845</t>
  </si>
  <si>
    <t>ON EDJ</t>
  </si>
  <si>
    <t>ON EB N1</t>
  </si>
  <si>
    <t>PNB EX N1</t>
  </si>
  <si>
    <t>UNT EJ N2</t>
  </si>
  <si>
    <t>PN EDJ N1</t>
  </si>
  <si>
    <t>ON EDB NM</t>
  </si>
  <si>
    <t>ON EDJ NM</t>
  </si>
  <si>
    <t>ON EB NM</t>
  </si>
  <si>
    <t>PN EB N1</t>
  </si>
  <si>
    <t>296.007.718</t>
  </si>
  <si>
    <t>PN EJB N1</t>
  </si>
  <si>
    <t>UNT EB N2</t>
  </si>
  <si>
    <t>ON EJ N2</t>
  </si>
  <si>
    <t>PN EB N2</t>
  </si>
  <si>
    <t>ON EJB NM</t>
  </si>
  <si>
    <t>ON ATZ</t>
  </si>
  <si>
    <t>MTSA4</t>
  </si>
  <si>
    <t>ESTR4</t>
  </si>
  <si>
    <t>ALPA3</t>
  </si>
  <si>
    <t>RPAD6</t>
  </si>
  <si>
    <t>TKNO4</t>
  </si>
  <si>
    <t>BAZA3</t>
  </si>
  <si>
    <t>MOAR3</t>
  </si>
  <si>
    <t>CEEB3</t>
  </si>
  <si>
    <t>CEBR6</t>
  </si>
  <si>
    <t>USIM3</t>
  </si>
  <si>
    <t>BMKS3</t>
  </si>
  <si>
    <t>MYPK3</t>
  </si>
  <si>
    <t>MERC4</t>
  </si>
  <si>
    <t>RPAD3</t>
  </si>
  <si>
    <t>PATI4</t>
  </si>
  <si>
    <t>BNBR3</t>
  </si>
  <si>
    <t>SCAR3</t>
  </si>
  <si>
    <t>SOND6</t>
  </si>
  <si>
    <t>EMAE4</t>
  </si>
  <si>
    <t>BMIN4</t>
  </si>
  <si>
    <t>CBEE3</t>
  </si>
  <si>
    <t>SHUL4</t>
  </si>
  <si>
    <t>CEBR5</t>
  </si>
  <si>
    <t>MAPT4</t>
  </si>
  <si>
    <t>DOHL4</t>
  </si>
  <si>
    <t>EALT4</t>
  </si>
  <si>
    <t>UNIP6</t>
  </si>
  <si>
    <t>RANI3</t>
  </si>
  <si>
    <t>BGIP4</t>
  </si>
  <si>
    <t>COCE3</t>
  </si>
  <si>
    <t>EKTR4</t>
  </si>
  <si>
    <t>BRSR3</t>
  </si>
  <si>
    <t>BEES3</t>
  </si>
  <si>
    <t>ITSA3</t>
  </si>
  <si>
    <t>COCE5</t>
  </si>
  <si>
    <t>ROMI3</t>
  </si>
  <si>
    <t>PTNT4</t>
  </si>
  <si>
    <t>HBTS5</t>
  </si>
  <si>
    <t>PNVL3</t>
  </si>
  <si>
    <t>TELB4</t>
  </si>
  <si>
    <t>GOAU3</t>
  </si>
  <si>
    <t>TELB3</t>
  </si>
  <si>
    <t>BAUH4</t>
  </si>
  <si>
    <t>BRAP3</t>
  </si>
  <si>
    <t>SOND5</t>
  </si>
  <si>
    <t>CEBR3</t>
  </si>
  <si>
    <t>UNIP5</t>
  </si>
  <si>
    <t>TUPY3</t>
  </si>
  <si>
    <t>RPAD5</t>
  </si>
  <si>
    <t>FESA4</t>
  </si>
  <si>
    <t>CMIG3</t>
  </si>
  <si>
    <t>UNIP3</t>
  </si>
  <si>
    <t>CTKA4</t>
  </si>
  <si>
    <t>GEPA3</t>
  </si>
  <si>
    <t>CEEB5</t>
  </si>
  <si>
    <t>CLSC3</t>
  </si>
  <si>
    <t>GEPA4</t>
  </si>
  <si>
    <t>BMEB4</t>
  </si>
  <si>
    <t>"=HISTÓRICODEAÇÕES(B2;"10/02/2026";"10/02/2026";0;0)</t>
  </si>
  <si>
    <t>IBOV</t>
  </si>
  <si>
    <t>ON  EJ  N1</t>
  </si>
  <si>
    <t>UNT ED  N2</t>
  </si>
  <si>
    <t>UNT     N1</t>
  </si>
  <si>
    <t>ON  EJ</t>
  </si>
  <si>
    <t>codigo</t>
  </si>
  <si>
    <t>empresa</t>
  </si>
  <si>
    <t>quantidade</t>
  </si>
  <si>
    <t>porc_indice</t>
  </si>
  <si>
    <t>tipo_acao</t>
  </si>
  <si>
    <t>ON  EX  NM</t>
  </si>
  <si>
    <t>PN  ED  N1</t>
  </si>
  <si>
    <t>ON  ES  NM</t>
  </si>
  <si>
    <t>ON  EDJ N2</t>
  </si>
  <si>
    <t>PN  EDJ N2</t>
  </si>
  <si>
    <t>ON  EC  NM</t>
  </si>
  <si>
    <t>ON  ATZ NM</t>
  </si>
  <si>
    <t>PN  ATZ N2</t>
  </si>
  <si>
    <t>BTOW3</t>
  </si>
  <si>
    <t>B2W DIGITAL</t>
  </si>
  <si>
    <t>VIVT4</t>
  </si>
  <si>
    <t>PN</t>
  </si>
  <si>
    <t>TIMP3</t>
  </si>
  <si>
    <t>TIM PART S/A</t>
  </si>
  <si>
    <t>VVAR3</t>
  </si>
  <si>
    <t>VIAVAREJO</t>
  </si>
  <si>
    <t>ON  ERJ NM</t>
  </si>
  <si>
    <t>PN  ES  N2</t>
  </si>
  <si>
    <t>KROT3</t>
  </si>
  <si>
    <t>KROTON</t>
  </si>
  <si>
    <t>PCAR4</t>
  </si>
  <si>
    <t>SMLS3</t>
  </si>
  <si>
    <t>SMILES</t>
  </si>
  <si>
    <t>ON  EJ  NM</t>
  </si>
  <si>
    <t>ESTC3</t>
  </si>
  <si>
    <t>ESTACIO PART</t>
  </si>
  <si>
    <t>FIBR3</t>
  </si>
  <si>
    <t>FIBRIA</t>
  </si>
  <si>
    <t>SUZANO PAPEL</t>
  </si>
  <si>
    <t>VVAR11</t>
  </si>
  <si>
    <t>BVMF3</t>
  </si>
  <si>
    <t>BMFBOVESPA</t>
  </si>
  <si>
    <t>HYPERMARCAS</t>
  </si>
  <si>
    <t>SMLE3</t>
  </si>
  <si>
    <t>SUZB5</t>
  </si>
  <si>
    <t>ranking</t>
  </si>
  <si>
    <t>Tipo</t>
  </si>
  <si>
    <t>Quantidade</t>
  </si>
  <si>
    <t>ON  EDJ</t>
  </si>
  <si>
    <t>ON  EB  N1</t>
  </si>
  <si>
    <t>PNB EX  N1</t>
  </si>
  <si>
    <t>PNC     N1</t>
  </si>
  <si>
    <t>UNT EJ  N2</t>
  </si>
  <si>
    <t>PN  EDJ N1</t>
  </si>
  <si>
    <t>ON  EDB NM</t>
  </si>
  <si>
    <t>ON  EDJ NM</t>
  </si>
  <si>
    <t>ON  EB  NM</t>
  </si>
  <si>
    <t>PN      NM</t>
  </si>
  <si>
    <t>PN  EB  N1</t>
  </si>
  <si>
    <t>PN  EJB N1</t>
  </si>
  <si>
    <t>UNT EB  N2</t>
  </si>
  <si>
    <t>ON  EJ  N2</t>
  </si>
  <si>
    <t>PACUCAR-CBD</t>
  </si>
  <si>
    <t>PN  EB  N2</t>
  </si>
  <si>
    <t>RUMO SA.</t>
  </si>
  <si>
    <t>ON  EJB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</si>
</sst>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"/>
    <numFmt numFmtId="165" formatCode="#,##0.00000000"/>
    <numFmt numFmtId="166" formatCode="0.0000%"/>
    <numFmt numFmtId="167" formatCode="_-[$R$-416]\ * #,##0.00_-;\-[$R$-416]\ * #,##0.00_-;_-[$R$-416]\ * &quot;-&quot;??_-;_-@_-"/>
    <numFmt numFmtId="168" formatCode="0.00000"/>
    <numFmt numFmtId="169" formatCode="0.000000"/>
    <numFmt numFmtId="170" formatCode="0.0000"/>
  </numFmts>
  <fonts count="1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color rgb="FF5C5F60"/>
      <name val="Calibri"/>
      <family val="2"/>
    </font>
    <font>
      <sz val="10"/>
      <color rgb="FF212529"/>
      <name val="Calibri"/>
      <family val="2"/>
    </font>
    <font>
      <b/>
      <sz val="10"/>
      <color rgb="FF5C5F60"/>
      <name val="Calibri"/>
      <family val="2"/>
    </font>
    <font>
      <b/>
      <sz val="10"/>
      <color rgb="FF212529"/>
      <name val="Calibri"/>
      <family val="2"/>
    </font>
    <font>
      <b/>
      <sz val="10"/>
      <color theme="1"/>
      <name val="Calibri"/>
      <family val="2"/>
    </font>
    <font>
      <b/>
      <sz val="10"/>
      <color rgb="FFD2D2D2"/>
      <name val="Calibri"/>
      <family val="2"/>
    </font>
    <font>
      <sz val="10"/>
      <color rgb="FF666666"/>
      <name val="Calibri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sz val="11"/>
      <color rgb="FFC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347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/>
      <top style="medium">
        <color rgb="FFDEE2E6"/>
      </top>
      <bottom style="medium">
        <color rgb="FFE5E5E5"/>
      </bottom>
      <diagonal/>
    </border>
    <border>
      <left style="medium">
        <color rgb="FFE5E5E5"/>
      </left>
      <right style="medium">
        <color rgb="FFFFFFFF"/>
      </right>
      <top style="medium">
        <color rgb="FFE5E5E5"/>
      </top>
      <bottom style="thick">
        <color rgb="FFDEE2E6"/>
      </bottom>
      <diagonal/>
    </border>
    <border>
      <left style="medium">
        <color rgb="FFFFFFFF"/>
      </left>
      <right style="medium">
        <color rgb="FFFFFFFF"/>
      </right>
      <top style="medium">
        <color rgb="FFE5E5E5"/>
      </top>
      <bottom style="thick">
        <color rgb="FFDEE2E6"/>
      </bottom>
      <diagonal/>
    </border>
    <border>
      <left style="medium">
        <color rgb="FFFFFFFF"/>
      </left>
      <right style="medium">
        <color rgb="FFE5E5E5"/>
      </right>
      <top style="medium">
        <color rgb="FFE5E5E5"/>
      </top>
      <bottom style="thick">
        <color rgb="FFDEE2E6"/>
      </bottom>
      <diagonal/>
    </border>
    <border>
      <left style="medium">
        <color rgb="FFE5E5E5"/>
      </left>
      <right/>
      <top style="medium">
        <color rgb="FFDEE2E6"/>
      </top>
      <bottom style="medium">
        <color rgb="FFE5E5E5"/>
      </bottom>
      <diagonal/>
    </border>
    <border>
      <left/>
      <right style="medium">
        <color rgb="FFE5E5E5"/>
      </right>
      <top style="medium">
        <color rgb="FFDEE2E6"/>
      </top>
      <bottom style="medium">
        <color rgb="FFE5E5E5"/>
      </bottom>
      <diagonal/>
    </border>
  </borders>
  <cellStyleXfs count="3">
    <xf numFmtId="0" fontId="0" fillId="0" borderId="0"/>
    <xf numFmtId="0" fontId="13" fillId="0" borderId="0"/>
    <xf numFmtId="43" fontId="13" fillId="0" borderId="0" applyFont="0" applyFill="0" applyBorder="0" applyAlignment="0" applyProtection="0"/>
  </cellStyleXfs>
  <cellXfs count="73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/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64" fontId="1" fillId="0" borderId="0" xfId="0" applyNumberFormat="1" applyFont="1"/>
    <xf numFmtId="0" fontId="3" fillId="0" borderId="0" xfId="0" applyFont="1"/>
    <xf numFmtId="3" fontId="3" fillId="0" borderId="0" xfId="0" applyNumberFormat="1" applyFont="1" applyAlignment="1">
      <alignment horizontal="right" vertical="center" wrapText="1"/>
    </xf>
    <xf numFmtId="165" fontId="6" fillId="0" borderId="0" xfId="0" applyNumberFormat="1" applyFont="1" applyAlignment="1">
      <alignment vertical="center" wrapText="1"/>
    </xf>
    <xf numFmtId="0" fontId="2" fillId="0" borderId="0" xfId="0" applyFont="1"/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right" vertical="center" wrapText="1"/>
    </xf>
    <xf numFmtId="3" fontId="6" fillId="3" borderId="1" xfId="0" applyNumberFormat="1" applyFont="1" applyFill="1" applyBorder="1" applyAlignment="1">
      <alignment horizontal="right" vertical="center" wrapText="1"/>
    </xf>
    <xf numFmtId="0" fontId="9" fillId="4" borderId="0" xfId="0" applyFont="1" applyFill="1"/>
    <xf numFmtId="0" fontId="10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right" vertical="center" wrapText="1"/>
    </xf>
    <xf numFmtId="14" fontId="11" fillId="3" borderId="1" xfId="0" applyNumberFormat="1" applyFont="1" applyFill="1" applyBorder="1" applyAlignment="1">
      <alignment horizontal="center" vertical="center" wrapText="1"/>
    </xf>
    <xf numFmtId="3" fontId="8" fillId="4" borderId="1" xfId="0" applyNumberFormat="1" applyFont="1" applyFill="1" applyBorder="1" applyAlignment="1">
      <alignment horizontal="right" vertical="center" wrapText="1"/>
    </xf>
    <xf numFmtId="0" fontId="5" fillId="3" borderId="6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164" fontId="5" fillId="3" borderId="7" xfId="0" applyNumberFormat="1" applyFont="1" applyFill="1" applyBorder="1" applyAlignment="1">
      <alignment horizontal="right" vertical="top" wrapText="1"/>
    </xf>
    <xf numFmtId="164" fontId="2" fillId="0" borderId="0" xfId="0" applyNumberFormat="1" applyFont="1"/>
    <xf numFmtId="2" fontId="2" fillId="0" borderId="0" xfId="0" applyNumberFormat="1" applyFont="1"/>
    <xf numFmtId="4" fontId="2" fillId="0" borderId="0" xfId="0" applyNumberFormat="1" applyFont="1"/>
    <xf numFmtId="4" fontId="0" fillId="0" borderId="0" xfId="0" applyNumberFormat="1"/>
    <xf numFmtId="166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  <xf numFmtId="169" fontId="2" fillId="0" borderId="0" xfId="0" applyNumberFormat="1" applyFont="1"/>
    <xf numFmtId="3" fontId="0" fillId="0" borderId="0" xfId="0" applyNumberFormat="1"/>
    <xf numFmtId="164" fontId="0" fillId="0" borderId="0" xfId="0" applyNumberFormat="1"/>
    <xf numFmtId="4" fontId="2" fillId="4" borderId="0" xfId="0" applyNumberFormat="1" applyFont="1" applyFill="1"/>
    <xf numFmtId="0" fontId="9" fillId="0" borderId="0" xfId="0" applyFont="1"/>
    <xf numFmtId="4" fontId="9" fillId="4" borderId="0" xfId="0" applyNumberFormat="1" applyFont="1" applyFill="1"/>
    <xf numFmtId="14" fontId="2" fillId="0" borderId="0" xfId="0" applyNumberFormat="1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 wrapText="1"/>
    </xf>
    <xf numFmtId="3" fontId="3" fillId="0" borderId="0" xfId="0" applyNumberFormat="1" applyFont="1"/>
    <xf numFmtId="170" fontId="4" fillId="0" borderId="0" xfId="0" applyNumberFormat="1" applyFont="1" applyAlignment="1">
      <alignment horizontal="center" vertical="center" wrapText="1"/>
    </xf>
    <xf numFmtId="170" fontId="3" fillId="0" borderId="0" xfId="0" applyNumberFormat="1" applyFont="1" applyAlignment="1">
      <alignment horizontal="right" vertical="center" wrapText="1"/>
    </xf>
    <xf numFmtId="170" fontId="3" fillId="0" borderId="0" xfId="0" applyNumberFormat="1" applyFont="1" applyAlignment="1">
      <alignment vertical="center" wrapText="1"/>
    </xf>
    <xf numFmtId="170" fontId="3" fillId="0" borderId="0" xfId="0" applyNumberFormat="1" applyFont="1"/>
    <xf numFmtId="170" fontId="2" fillId="0" borderId="0" xfId="0" applyNumberFormat="1" applyFont="1"/>
    <xf numFmtId="1" fontId="3" fillId="0" borderId="0" xfId="0" applyNumberFormat="1" applyFont="1" applyAlignment="1">
      <alignment horizontal="right" vertical="center" wrapText="1"/>
    </xf>
    <xf numFmtId="1" fontId="6" fillId="0" borderId="0" xfId="0" applyNumberFormat="1" applyFont="1" applyAlignment="1">
      <alignment vertical="center" wrapText="1"/>
    </xf>
    <xf numFmtId="170" fontId="6" fillId="0" borderId="0" xfId="0" applyNumberFormat="1" applyFont="1" applyAlignment="1">
      <alignment horizontal="right" vertical="center" wrapText="1"/>
    </xf>
    <xf numFmtId="1" fontId="4" fillId="0" borderId="0" xfId="0" applyNumberFormat="1" applyFont="1" applyAlignment="1">
      <alignment horizontal="center" vertical="center" wrapText="1"/>
    </xf>
    <xf numFmtId="1" fontId="6" fillId="0" borderId="0" xfId="0" applyNumberFormat="1" applyFont="1" applyAlignment="1">
      <alignment horizontal="right" vertical="center" wrapText="1"/>
    </xf>
    <xf numFmtId="1" fontId="2" fillId="0" borderId="0" xfId="0" applyNumberFormat="1" applyFont="1"/>
    <xf numFmtId="170" fontId="1" fillId="0" borderId="0" xfId="0" applyNumberFormat="1" applyFont="1"/>
    <xf numFmtId="170" fontId="6" fillId="0" borderId="0" xfId="0" applyNumberFormat="1" applyFont="1" applyAlignment="1">
      <alignment vertical="center" wrapText="1"/>
    </xf>
    <xf numFmtId="170" fontId="2" fillId="0" borderId="0" xfId="0" applyNumberFormat="1" applyFont="1" applyAlignment="1">
      <alignment vertic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164" fontId="4" fillId="3" borderId="5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right" vertical="top" wrapText="1"/>
    </xf>
    <xf numFmtId="170" fontId="0" fillId="0" borderId="0" xfId="0" applyNumberFormat="1"/>
    <xf numFmtId="1" fontId="0" fillId="0" borderId="0" xfId="0" applyNumberFormat="1"/>
    <xf numFmtId="0" fontId="14" fillId="0" borderId="0" xfId="0" applyFont="1"/>
    <xf numFmtId="0" fontId="0" fillId="5" borderId="0" xfId="0" applyFill="1"/>
    <xf numFmtId="0" fontId="14" fillId="6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3">
    <cellStyle name="Normal" xfId="0" builtinId="0"/>
    <cellStyle name="Normal 2" xfId="1" xr:uid="{1A1E13FE-1E1F-4201-A3A7-91910D3DD4CB}"/>
    <cellStyle name="Vírgula 2" xfId="2" xr:uid="{98E9F1CA-6305-4B1D-B661-D1DBABB988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97142-5844-4BCD-9D83-5E9A6FA7472D}">
  <dimension ref="A1:G60"/>
  <sheetViews>
    <sheetView workbookViewId="0">
      <selection activeCell="K6" sqref="K6"/>
    </sheetView>
  </sheetViews>
  <sheetFormatPr defaultRowHeight="15" x14ac:dyDescent="0.25"/>
  <cols>
    <col min="3" max="3" width="19.42578125" customWidth="1"/>
    <col min="4" max="4" width="13.28515625" customWidth="1"/>
    <col min="5" max="5" width="19.5703125" style="64" customWidth="1"/>
    <col min="6" max="6" width="10.5703125" style="63" customWidth="1"/>
  </cols>
  <sheetData>
    <row r="1" spans="1:7" x14ac:dyDescent="0.25">
      <c r="A1" t="s">
        <v>662</v>
      </c>
      <c r="B1" s="39" t="s">
        <v>622</v>
      </c>
      <c r="C1" s="39" t="s">
        <v>623</v>
      </c>
      <c r="D1" s="39" t="s">
        <v>626</v>
      </c>
      <c r="E1" s="53" t="s">
        <v>624</v>
      </c>
      <c r="F1" s="45" t="s">
        <v>625</v>
      </c>
    </row>
    <row r="2" spans="1:7" x14ac:dyDescent="0.25">
      <c r="A2">
        <v>1</v>
      </c>
      <c r="B2" t="s">
        <v>118</v>
      </c>
      <c r="C2" t="s">
        <v>119</v>
      </c>
      <c r="D2" t="s">
        <v>628</v>
      </c>
      <c r="E2" s="64">
        <v>3119093161</v>
      </c>
      <c r="F2" s="63">
        <v>10.8072</v>
      </c>
    </row>
    <row r="3" spans="1:7" x14ac:dyDescent="0.25">
      <c r="A3">
        <v>2</v>
      </c>
      <c r="B3" t="s">
        <v>185</v>
      </c>
      <c r="C3" t="s">
        <v>186</v>
      </c>
      <c r="D3" t="s">
        <v>470</v>
      </c>
      <c r="E3" s="64">
        <v>3001189620</v>
      </c>
      <c r="F3" s="63">
        <v>9.0439000000000007</v>
      </c>
    </row>
    <row r="4" spans="1:7" x14ac:dyDescent="0.25">
      <c r="A4">
        <v>3</v>
      </c>
      <c r="B4" t="s">
        <v>21</v>
      </c>
      <c r="C4" t="s">
        <v>19</v>
      </c>
      <c r="D4" t="s">
        <v>462</v>
      </c>
      <c r="E4" s="64">
        <v>2932656271</v>
      </c>
      <c r="F4" s="63">
        <v>8.4595000000000002</v>
      </c>
    </row>
    <row r="5" spans="1:7" x14ac:dyDescent="0.25">
      <c r="A5">
        <v>4</v>
      </c>
      <c r="B5" t="s">
        <v>0</v>
      </c>
      <c r="C5" t="s">
        <v>1</v>
      </c>
      <c r="D5" t="s">
        <v>2</v>
      </c>
      <c r="E5" s="64">
        <v>4125994582</v>
      </c>
      <c r="F5" s="63">
        <v>7.0388999999999999</v>
      </c>
    </row>
    <row r="6" spans="1:7" x14ac:dyDescent="0.25">
      <c r="A6">
        <v>5</v>
      </c>
      <c r="B6" t="s">
        <v>149</v>
      </c>
      <c r="C6" t="s">
        <v>148</v>
      </c>
      <c r="D6" t="s">
        <v>638</v>
      </c>
      <c r="E6" s="64">
        <v>4124795738</v>
      </c>
      <c r="F6" s="63">
        <v>4.8365</v>
      </c>
    </row>
    <row r="7" spans="1:7" x14ac:dyDescent="0.25">
      <c r="A7">
        <v>6</v>
      </c>
      <c r="B7" t="s">
        <v>657</v>
      </c>
      <c r="C7" t="s">
        <v>658</v>
      </c>
      <c r="D7" t="s">
        <v>461</v>
      </c>
      <c r="E7" s="64">
        <v>2035474854</v>
      </c>
      <c r="F7" s="63">
        <v>3.8677000000000001</v>
      </c>
    </row>
    <row r="8" spans="1:7" x14ac:dyDescent="0.25">
      <c r="A8">
        <v>7</v>
      </c>
      <c r="B8" t="s">
        <v>115</v>
      </c>
      <c r="C8" t="s">
        <v>116</v>
      </c>
      <c r="D8" t="s">
        <v>628</v>
      </c>
      <c r="E8" s="64">
        <v>3860753592</v>
      </c>
      <c r="F8" s="63">
        <v>3.3778000000000001</v>
      </c>
    </row>
    <row r="9" spans="1:7" x14ac:dyDescent="0.25">
      <c r="A9">
        <v>8</v>
      </c>
      <c r="B9" t="s">
        <v>147</v>
      </c>
      <c r="C9" t="s">
        <v>148</v>
      </c>
      <c r="D9" t="s">
        <v>2</v>
      </c>
      <c r="E9" s="64">
        <v>2708734721</v>
      </c>
      <c r="F9" s="63">
        <v>3.2505999999999999</v>
      </c>
    </row>
    <row r="10" spans="1:7" x14ac:dyDescent="0.25">
      <c r="A10">
        <v>9</v>
      </c>
      <c r="B10" t="s">
        <v>16</v>
      </c>
      <c r="C10" t="s">
        <v>17</v>
      </c>
      <c r="D10" t="s">
        <v>461</v>
      </c>
      <c r="E10" s="64">
        <v>1226268476</v>
      </c>
      <c r="F10" s="63">
        <v>3.2339000000000002</v>
      </c>
    </row>
    <row r="11" spans="1:7" x14ac:dyDescent="0.25">
      <c r="A11">
        <v>10</v>
      </c>
      <c r="B11" t="s">
        <v>39</v>
      </c>
      <c r="C11" t="s">
        <v>40</v>
      </c>
      <c r="D11" t="s">
        <v>461</v>
      </c>
      <c r="E11" s="64">
        <v>799005245</v>
      </c>
      <c r="F11" s="63">
        <v>2.9184000000000001</v>
      </c>
    </row>
    <row r="12" spans="1:7" x14ac:dyDescent="0.25">
      <c r="A12">
        <v>11</v>
      </c>
      <c r="B12" t="s">
        <v>180</v>
      </c>
      <c r="C12" t="s">
        <v>181</v>
      </c>
      <c r="D12" t="s">
        <v>461</v>
      </c>
      <c r="E12" s="64">
        <v>401933663</v>
      </c>
      <c r="F12" s="63">
        <v>2.5358999999999998</v>
      </c>
    </row>
    <row r="13" spans="1:7" x14ac:dyDescent="0.25">
      <c r="A13">
        <v>12</v>
      </c>
      <c r="B13" t="s">
        <v>645</v>
      </c>
      <c r="C13" t="s">
        <v>646</v>
      </c>
      <c r="D13" t="s">
        <v>461</v>
      </c>
      <c r="E13" s="64">
        <v>1459253798</v>
      </c>
      <c r="F13" s="63">
        <v>2.2524999999999999</v>
      </c>
    </row>
    <row r="14" spans="1:7" x14ac:dyDescent="0.25">
      <c r="A14">
        <v>13</v>
      </c>
      <c r="B14" t="s">
        <v>50</v>
      </c>
      <c r="C14" t="s">
        <v>51</v>
      </c>
      <c r="D14" t="s">
        <v>461</v>
      </c>
      <c r="E14" s="64">
        <v>1117071941</v>
      </c>
      <c r="F14" s="63">
        <v>2.1522999999999999</v>
      </c>
    </row>
    <row r="15" spans="1:7" x14ac:dyDescent="0.25">
      <c r="A15">
        <v>14</v>
      </c>
      <c r="B15" t="s">
        <v>130</v>
      </c>
      <c r="C15" t="s">
        <v>131</v>
      </c>
      <c r="D15" t="s">
        <v>461</v>
      </c>
      <c r="E15" s="64">
        <v>703493232</v>
      </c>
      <c r="F15" s="63">
        <v>1.8492</v>
      </c>
    </row>
    <row r="16" spans="1:7" x14ac:dyDescent="0.25">
      <c r="A16">
        <v>15</v>
      </c>
      <c r="B16" t="s">
        <v>637</v>
      </c>
      <c r="C16" t="s">
        <v>190</v>
      </c>
      <c r="D16" t="s">
        <v>638</v>
      </c>
      <c r="E16" s="64">
        <v>415110664</v>
      </c>
      <c r="F16" s="63">
        <v>1.7415</v>
      </c>
      <c r="G16" s="63">
        <f>SUM(F2:F16)</f>
        <v>67.365799999999993</v>
      </c>
    </row>
    <row r="17" spans="1:7" x14ac:dyDescent="0.25">
      <c r="A17">
        <v>16</v>
      </c>
      <c r="B17" t="s">
        <v>48</v>
      </c>
      <c r="C17" t="s">
        <v>49</v>
      </c>
      <c r="D17" t="s">
        <v>461</v>
      </c>
      <c r="E17" s="64">
        <v>1115695556</v>
      </c>
      <c r="F17" s="63">
        <v>1.6733</v>
      </c>
    </row>
    <row r="18" spans="1:7" x14ac:dyDescent="0.25">
      <c r="A18">
        <v>17</v>
      </c>
      <c r="B18" t="s">
        <v>23</v>
      </c>
      <c r="C18" t="s">
        <v>24</v>
      </c>
      <c r="D18" t="s">
        <v>461</v>
      </c>
      <c r="E18" s="64">
        <v>671580824</v>
      </c>
      <c r="F18" s="63">
        <v>1.5991</v>
      </c>
    </row>
    <row r="19" spans="1:7" x14ac:dyDescent="0.25">
      <c r="A19">
        <v>18</v>
      </c>
      <c r="B19" t="s">
        <v>18</v>
      </c>
      <c r="C19" t="s">
        <v>19</v>
      </c>
      <c r="D19" t="s">
        <v>470</v>
      </c>
      <c r="E19" s="64">
        <v>543976910</v>
      </c>
      <c r="F19" s="63">
        <v>1.5069999999999999</v>
      </c>
    </row>
    <row r="20" spans="1:7" x14ac:dyDescent="0.25">
      <c r="A20">
        <v>19</v>
      </c>
      <c r="B20" t="s">
        <v>156</v>
      </c>
      <c r="C20" t="s">
        <v>157</v>
      </c>
      <c r="D20" t="s">
        <v>461</v>
      </c>
      <c r="E20" s="64">
        <v>211231473</v>
      </c>
      <c r="F20" s="63">
        <v>1.2583</v>
      </c>
    </row>
    <row r="21" spans="1:7" x14ac:dyDescent="0.25">
      <c r="A21">
        <v>20</v>
      </c>
      <c r="B21" t="s">
        <v>120</v>
      </c>
      <c r="C21" t="s">
        <v>121</v>
      </c>
      <c r="D21" t="s">
        <v>461</v>
      </c>
      <c r="E21" s="64">
        <v>1530902471</v>
      </c>
      <c r="F21" s="63">
        <v>1.1400999999999999</v>
      </c>
      <c r="G21" s="63">
        <f>SUM(F2:F21)</f>
        <v>74.543599999999998</v>
      </c>
    </row>
    <row r="22" spans="1:7" x14ac:dyDescent="0.25">
      <c r="A22">
        <v>21</v>
      </c>
      <c r="B22" t="s">
        <v>83</v>
      </c>
      <c r="C22" t="s">
        <v>84</v>
      </c>
      <c r="D22" t="s">
        <v>461</v>
      </c>
      <c r="E22" s="64">
        <v>733530687</v>
      </c>
      <c r="F22" s="63">
        <v>1.1297999999999999</v>
      </c>
    </row>
    <row r="23" spans="1:7" x14ac:dyDescent="0.25">
      <c r="A23">
        <v>22</v>
      </c>
      <c r="B23" t="s">
        <v>56</v>
      </c>
      <c r="C23" t="s">
        <v>57</v>
      </c>
      <c r="D23" t="s">
        <v>461</v>
      </c>
      <c r="E23" s="64">
        <v>461726179</v>
      </c>
      <c r="F23" s="63">
        <v>1.0744</v>
      </c>
    </row>
    <row r="24" spans="1:7" x14ac:dyDescent="0.25">
      <c r="A24">
        <v>23</v>
      </c>
      <c r="B24" t="s">
        <v>91</v>
      </c>
      <c r="C24" t="s">
        <v>92</v>
      </c>
      <c r="D24" t="s">
        <v>461</v>
      </c>
      <c r="E24" s="64">
        <v>198078980</v>
      </c>
      <c r="F24" s="63">
        <v>1.0399</v>
      </c>
    </row>
    <row r="25" spans="1:7" x14ac:dyDescent="0.25">
      <c r="A25">
        <v>24</v>
      </c>
      <c r="B25" t="s">
        <v>126</v>
      </c>
      <c r="C25" t="s">
        <v>127</v>
      </c>
      <c r="D25" t="s">
        <v>638</v>
      </c>
      <c r="E25" s="64">
        <v>669275886</v>
      </c>
      <c r="F25" s="63">
        <v>1.0216000000000001</v>
      </c>
    </row>
    <row r="26" spans="1:7" x14ac:dyDescent="0.25">
      <c r="A26">
        <v>25</v>
      </c>
      <c r="B26" t="s">
        <v>97</v>
      </c>
      <c r="C26" t="s">
        <v>98</v>
      </c>
      <c r="D26" t="s">
        <v>462</v>
      </c>
      <c r="E26" s="64">
        <v>995089468</v>
      </c>
      <c r="F26" s="63">
        <v>1.0128999999999999</v>
      </c>
    </row>
    <row r="27" spans="1:7" x14ac:dyDescent="0.25">
      <c r="A27">
        <v>26</v>
      </c>
      <c r="B27" t="s">
        <v>109</v>
      </c>
      <c r="C27" t="s">
        <v>659</v>
      </c>
      <c r="D27" t="s">
        <v>461</v>
      </c>
      <c r="E27" s="64">
        <v>397066972</v>
      </c>
      <c r="F27" s="63">
        <v>1.0065</v>
      </c>
    </row>
    <row r="28" spans="1:7" x14ac:dyDescent="0.25">
      <c r="A28">
        <v>27</v>
      </c>
      <c r="B28" t="s">
        <v>191</v>
      </c>
      <c r="C28" t="s">
        <v>192</v>
      </c>
      <c r="D28" t="s">
        <v>461</v>
      </c>
      <c r="E28" s="64">
        <v>569478874</v>
      </c>
      <c r="F28" s="63">
        <v>1.0007999999999999</v>
      </c>
    </row>
    <row r="29" spans="1:7" x14ac:dyDescent="0.25">
      <c r="A29">
        <v>28</v>
      </c>
      <c r="B29" t="s">
        <v>44</v>
      </c>
      <c r="C29" t="s">
        <v>45</v>
      </c>
      <c r="D29" t="s">
        <v>461</v>
      </c>
      <c r="E29" s="64">
        <v>838218545</v>
      </c>
      <c r="F29" s="63">
        <v>0.97919999999999996</v>
      </c>
    </row>
    <row r="30" spans="1:7" x14ac:dyDescent="0.25">
      <c r="A30">
        <v>29</v>
      </c>
      <c r="B30" t="s">
        <v>647</v>
      </c>
      <c r="C30" t="s">
        <v>146</v>
      </c>
      <c r="D30" t="s">
        <v>462</v>
      </c>
      <c r="E30" s="64">
        <v>155296870</v>
      </c>
      <c r="F30" s="63">
        <v>0.96030000000000004</v>
      </c>
    </row>
    <row r="31" spans="1:7" x14ac:dyDescent="0.25">
      <c r="A31">
        <v>30</v>
      </c>
      <c r="B31" t="s">
        <v>167</v>
      </c>
      <c r="C31" t="s">
        <v>168</v>
      </c>
      <c r="D31" t="s">
        <v>461</v>
      </c>
      <c r="E31" s="64">
        <v>339985584</v>
      </c>
      <c r="F31" s="63">
        <v>0.93889999999999996</v>
      </c>
    </row>
    <row r="32" spans="1:7" x14ac:dyDescent="0.25">
      <c r="A32">
        <v>31</v>
      </c>
      <c r="B32" t="s">
        <v>164</v>
      </c>
      <c r="C32" t="s">
        <v>165</v>
      </c>
      <c r="D32" t="s">
        <v>166</v>
      </c>
      <c r="E32" s="64">
        <v>382239645</v>
      </c>
      <c r="F32" s="63">
        <v>0.92059999999999997</v>
      </c>
    </row>
    <row r="33" spans="1:6" x14ac:dyDescent="0.25">
      <c r="A33">
        <v>32</v>
      </c>
      <c r="B33" t="s">
        <v>41</v>
      </c>
      <c r="C33" t="s">
        <v>42</v>
      </c>
      <c r="D33" t="s">
        <v>467</v>
      </c>
      <c r="E33" s="64">
        <v>264585722</v>
      </c>
      <c r="F33" s="63">
        <v>0.86609999999999998</v>
      </c>
    </row>
    <row r="34" spans="1:6" x14ac:dyDescent="0.25">
      <c r="A34">
        <v>33</v>
      </c>
      <c r="B34" t="s">
        <v>162</v>
      </c>
      <c r="C34" t="s">
        <v>163</v>
      </c>
      <c r="D34" t="s">
        <v>461</v>
      </c>
      <c r="E34" s="64">
        <v>164613085</v>
      </c>
      <c r="F34" s="63">
        <v>0.84199999999999997</v>
      </c>
    </row>
    <row r="35" spans="1:6" x14ac:dyDescent="0.25">
      <c r="A35">
        <v>34</v>
      </c>
      <c r="B35" t="s">
        <v>653</v>
      </c>
      <c r="C35" t="s">
        <v>654</v>
      </c>
      <c r="D35" t="s">
        <v>461</v>
      </c>
      <c r="E35" s="64">
        <v>229520397</v>
      </c>
      <c r="F35" s="63">
        <v>0.82389999999999997</v>
      </c>
    </row>
    <row r="36" spans="1:6" x14ac:dyDescent="0.25">
      <c r="A36">
        <v>35</v>
      </c>
      <c r="B36" t="s">
        <v>639</v>
      </c>
      <c r="C36" t="s">
        <v>640</v>
      </c>
      <c r="D36" t="s">
        <v>461</v>
      </c>
      <c r="E36" s="64">
        <v>808311315</v>
      </c>
      <c r="F36" s="63">
        <v>0.78320000000000001</v>
      </c>
    </row>
    <row r="37" spans="1:6" x14ac:dyDescent="0.25">
      <c r="A37">
        <v>36</v>
      </c>
      <c r="B37" t="s">
        <v>124</v>
      </c>
      <c r="C37" t="s">
        <v>125</v>
      </c>
      <c r="D37" t="s">
        <v>465</v>
      </c>
      <c r="E37" s="64">
        <v>513709337</v>
      </c>
      <c r="F37" s="63">
        <v>0.75539999999999996</v>
      </c>
    </row>
    <row r="38" spans="1:6" x14ac:dyDescent="0.25">
      <c r="A38">
        <v>37</v>
      </c>
      <c r="B38" t="s">
        <v>158</v>
      </c>
      <c r="C38" t="s">
        <v>159</v>
      </c>
      <c r="D38" t="s">
        <v>461</v>
      </c>
      <c r="E38" s="64">
        <v>851388595</v>
      </c>
      <c r="F38" s="63">
        <v>0.75539999999999996</v>
      </c>
    </row>
    <row r="39" spans="1:6" x14ac:dyDescent="0.25">
      <c r="A39">
        <v>38</v>
      </c>
      <c r="B39" t="s">
        <v>154</v>
      </c>
      <c r="C39" t="s">
        <v>155</v>
      </c>
      <c r="D39" t="s">
        <v>461</v>
      </c>
      <c r="E39" s="64">
        <v>239871495</v>
      </c>
      <c r="F39" s="63">
        <v>0.71799999999999997</v>
      </c>
    </row>
    <row r="40" spans="1:6" x14ac:dyDescent="0.25">
      <c r="A40">
        <v>39</v>
      </c>
      <c r="B40" t="s">
        <v>661</v>
      </c>
      <c r="C40" t="s">
        <v>655</v>
      </c>
      <c r="D40" t="s">
        <v>467</v>
      </c>
      <c r="E40" s="64">
        <v>465209171</v>
      </c>
      <c r="F40" s="63">
        <v>0.69930000000000003</v>
      </c>
    </row>
    <row r="41" spans="1:6" x14ac:dyDescent="0.25">
      <c r="A41">
        <v>40</v>
      </c>
      <c r="B41" t="s">
        <v>651</v>
      </c>
      <c r="C41" t="s">
        <v>652</v>
      </c>
      <c r="D41" t="s">
        <v>461</v>
      </c>
      <c r="E41" s="64">
        <v>308360074</v>
      </c>
      <c r="F41" s="63">
        <v>0.68359999999999999</v>
      </c>
    </row>
    <row r="42" spans="1:6" x14ac:dyDescent="0.25">
      <c r="A42">
        <v>41</v>
      </c>
      <c r="B42" t="s">
        <v>77</v>
      </c>
      <c r="C42" t="s">
        <v>78</v>
      </c>
      <c r="D42" t="s">
        <v>461</v>
      </c>
      <c r="E42" s="64">
        <v>203865231</v>
      </c>
      <c r="F42" s="63">
        <v>0.6321</v>
      </c>
    </row>
    <row r="43" spans="1:6" x14ac:dyDescent="0.25">
      <c r="A43">
        <v>42</v>
      </c>
      <c r="B43" t="s">
        <v>52</v>
      </c>
      <c r="C43" t="s">
        <v>53</v>
      </c>
      <c r="D43" t="s">
        <v>462</v>
      </c>
      <c r="E43" s="64">
        <v>832479513</v>
      </c>
      <c r="F43" s="63">
        <v>0.59919999999999995</v>
      </c>
    </row>
    <row r="44" spans="1:6" x14ac:dyDescent="0.25">
      <c r="A44">
        <v>43</v>
      </c>
      <c r="B44" t="s">
        <v>140</v>
      </c>
      <c r="C44" t="s">
        <v>141</v>
      </c>
      <c r="D44" t="s">
        <v>469</v>
      </c>
      <c r="E44" s="64">
        <v>89361034</v>
      </c>
      <c r="F44" s="63">
        <v>0.56100000000000005</v>
      </c>
    </row>
    <row r="45" spans="1:6" x14ac:dyDescent="0.25">
      <c r="A45">
        <v>44</v>
      </c>
      <c r="B45" t="s">
        <v>35</v>
      </c>
      <c r="C45" t="s">
        <v>36</v>
      </c>
      <c r="D45" t="s">
        <v>462</v>
      </c>
      <c r="E45" s="64">
        <v>221524907</v>
      </c>
      <c r="F45" s="63">
        <v>0.51149999999999995</v>
      </c>
    </row>
    <row r="46" spans="1:6" x14ac:dyDescent="0.25">
      <c r="A46">
        <v>45</v>
      </c>
      <c r="B46" t="s">
        <v>65</v>
      </c>
      <c r="C46" t="s">
        <v>66</v>
      </c>
      <c r="D46" t="s">
        <v>461</v>
      </c>
      <c r="E46" s="64">
        <v>153658655</v>
      </c>
      <c r="F46" s="63">
        <v>0.50929999999999997</v>
      </c>
    </row>
    <row r="47" spans="1:6" x14ac:dyDescent="0.25">
      <c r="A47">
        <v>46</v>
      </c>
      <c r="B47" t="s">
        <v>67</v>
      </c>
      <c r="C47" t="s">
        <v>68</v>
      </c>
      <c r="D47" t="s">
        <v>2</v>
      </c>
      <c r="E47" s="64">
        <v>601219554</v>
      </c>
      <c r="F47" s="63">
        <v>0.44879999999999998</v>
      </c>
    </row>
    <row r="48" spans="1:6" x14ac:dyDescent="0.25">
      <c r="A48">
        <v>47</v>
      </c>
      <c r="B48" t="s">
        <v>273</v>
      </c>
      <c r="C48" t="s">
        <v>274</v>
      </c>
      <c r="D48" t="s">
        <v>461</v>
      </c>
      <c r="E48" s="64">
        <v>172202209</v>
      </c>
      <c r="F48" s="63">
        <v>0.43630000000000002</v>
      </c>
    </row>
    <row r="49" spans="1:6" x14ac:dyDescent="0.25">
      <c r="A49">
        <v>48</v>
      </c>
      <c r="B49" t="s">
        <v>79</v>
      </c>
      <c r="C49" t="s">
        <v>80</v>
      </c>
      <c r="D49" t="s">
        <v>470</v>
      </c>
      <c r="E49" s="64">
        <v>269694241</v>
      </c>
      <c r="F49" s="63">
        <v>0.40820000000000001</v>
      </c>
    </row>
    <row r="50" spans="1:6" x14ac:dyDescent="0.25">
      <c r="A50">
        <v>49</v>
      </c>
      <c r="B50" t="s">
        <v>82</v>
      </c>
      <c r="C50" t="s">
        <v>80</v>
      </c>
      <c r="D50" t="s">
        <v>471</v>
      </c>
      <c r="E50" s="64">
        <v>225964766</v>
      </c>
      <c r="F50" s="63">
        <v>0.39850000000000002</v>
      </c>
    </row>
    <row r="51" spans="1:6" x14ac:dyDescent="0.25">
      <c r="A51">
        <v>50</v>
      </c>
      <c r="B51" t="s">
        <v>85</v>
      </c>
      <c r="C51" t="s">
        <v>86</v>
      </c>
      <c r="D51" t="s">
        <v>461</v>
      </c>
      <c r="E51" s="64">
        <v>295233783</v>
      </c>
      <c r="F51" s="63">
        <v>0.38650000000000001</v>
      </c>
    </row>
    <row r="52" spans="1:6" x14ac:dyDescent="0.25">
      <c r="A52">
        <v>51</v>
      </c>
      <c r="B52" t="s">
        <v>173</v>
      </c>
      <c r="C52" t="s">
        <v>174</v>
      </c>
      <c r="D52" t="s">
        <v>465</v>
      </c>
      <c r="E52" s="64">
        <v>184568250</v>
      </c>
      <c r="F52" s="63">
        <v>0.35670000000000002</v>
      </c>
    </row>
    <row r="53" spans="1:6" x14ac:dyDescent="0.25">
      <c r="A53">
        <v>52</v>
      </c>
      <c r="B53" t="s">
        <v>660</v>
      </c>
      <c r="C53" t="s">
        <v>649</v>
      </c>
      <c r="D53" t="s">
        <v>461</v>
      </c>
      <c r="E53" s="64">
        <v>57290428</v>
      </c>
      <c r="F53" s="63">
        <v>0.34200000000000003</v>
      </c>
    </row>
    <row r="54" spans="1:6" x14ac:dyDescent="0.25">
      <c r="A54">
        <v>53</v>
      </c>
      <c r="B54" t="s">
        <v>138</v>
      </c>
      <c r="C54" t="s">
        <v>139</v>
      </c>
      <c r="D54" t="s">
        <v>461</v>
      </c>
      <c r="E54" s="64">
        <v>283144726</v>
      </c>
      <c r="F54" s="63">
        <v>0.3281</v>
      </c>
    </row>
    <row r="55" spans="1:6" x14ac:dyDescent="0.25">
      <c r="A55">
        <v>54</v>
      </c>
      <c r="B55" t="s">
        <v>182</v>
      </c>
      <c r="C55" t="s">
        <v>183</v>
      </c>
      <c r="D55" t="s">
        <v>467</v>
      </c>
      <c r="E55" s="64">
        <v>510965930</v>
      </c>
      <c r="F55" s="63">
        <v>0.3024</v>
      </c>
    </row>
    <row r="56" spans="1:6" x14ac:dyDescent="0.25">
      <c r="A56">
        <v>55</v>
      </c>
      <c r="B56" t="s">
        <v>101</v>
      </c>
      <c r="C56" t="s">
        <v>102</v>
      </c>
      <c r="D56" t="s">
        <v>462</v>
      </c>
      <c r="E56" s="64">
        <v>571971811</v>
      </c>
      <c r="F56" s="63">
        <v>0.27800000000000002</v>
      </c>
    </row>
    <row r="57" spans="1:6" x14ac:dyDescent="0.25">
      <c r="A57">
        <v>56</v>
      </c>
      <c r="B57" t="s">
        <v>71</v>
      </c>
      <c r="C57" t="s">
        <v>72</v>
      </c>
      <c r="D57" t="s">
        <v>461</v>
      </c>
      <c r="E57" s="64">
        <v>243978474</v>
      </c>
      <c r="F57" s="63">
        <v>0.2762</v>
      </c>
    </row>
    <row r="58" spans="1:6" x14ac:dyDescent="0.25">
      <c r="A58">
        <v>57</v>
      </c>
      <c r="B58" t="s">
        <v>60</v>
      </c>
      <c r="C58" t="s">
        <v>61</v>
      </c>
      <c r="D58" t="s">
        <v>471</v>
      </c>
      <c r="E58" s="64">
        <v>101013662</v>
      </c>
      <c r="F58" s="63">
        <v>0.24929999999999999</v>
      </c>
    </row>
    <row r="59" spans="1:6" x14ac:dyDescent="0.25">
      <c r="A59">
        <v>58</v>
      </c>
      <c r="B59" t="s">
        <v>136</v>
      </c>
      <c r="C59" t="s">
        <v>137</v>
      </c>
      <c r="D59" t="s">
        <v>461</v>
      </c>
      <c r="E59" s="64">
        <v>402499145</v>
      </c>
      <c r="F59" s="63">
        <v>0.2465</v>
      </c>
    </row>
    <row r="60" spans="1:6" x14ac:dyDescent="0.25">
      <c r="A60">
        <v>59</v>
      </c>
      <c r="B60" t="s">
        <v>75</v>
      </c>
      <c r="C60" t="s">
        <v>76</v>
      </c>
      <c r="D60" t="s">
        <v>461</v>
      </c>
      <c r="E60" s="64">
        <v>186126859</v>
      </c>
      <c r="F60" s="63">
        <v>0.17100000000000001</v>
      </c>
    </row>
  </sheetData>
  <sortState xmlns:xlrd2="http://schemas.microsoft.com/office/spreadsheetml/2017/richdata2" ref="B2:F60">
    <sortCondition descending="1" ref="F1:F60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5B520-B8EB-4BDE-A3C8-CE5A4752521B}">
  <dimension ref="A1:G66"/>
  <sheetViews>
    <sheetView workbookViewId="0">
      <selection activeCell="I6" sqref="I6"/>
    </sheetView>
  </sheetViews>
  <sheetFormatPr defaultRowHeight="15" x14ac:dyDescent="0.25"/>
  <cols>
    <col min="2" max="2" width="10.85546875" customWidth="1"/>
    <col min="3" max="3" width="22.140625" customWidth="1"/>
    <col min="4" max="4" width="12.7109375" customWidth="1"/>
    <col min="5" max="5" width="17" style="64" customWidth="1"/>
    <col min="6" max="6" width="12.7109375" style="63" customWidth="1"/>
  </cols>
  <sheetData>
    <row r="1" spans="1:7" x14ac:dyDescent="0.25">
      <c r="A1" t="s">
        <v>662</v>
      </c>
      <c r="B1" s="39" t="s">
        <v>622</v>
      </c>
      <c r="C1" s="39" t="s">
        <v>623</v>
      </c>
      <c r="D1" s="39" t="s">
        <v>626</v>
      </c>
      <c r="E1" s="53" t="s">
        <v>624</v>
      </c>
      <c r="F1" s="45" t="s">
        <v>625</v>
      </c>
    </row>
    <row r="2" spans="1:7" x14ac:dyDescent="0.25">
      <c r="A2">
        <v>1</v>
      </c>
      <c r="B2" t="s">
        <v>185</v>
      </c>
      <c r="C2" t="s">
        <v>186</v>
      </c>
      <c r="D2" t="s">
        <v>461</v>
      </c>
      <c r="E2" s="64">
        <v>3067179982</v>
      </c>
      <c r="F2" s="63">
        <v>12.886200000000001</v>
      </c>
    </row>
    <row r="3" spans="1:7" x14ac:dyDescent="0.25">
      <c r="A3">
        <v>2</v>
      </c>
      <c r="B3" t="s">
        <v>118</v>
      </c>
      <c r="C3" t="s">
        <v>119</v>
      </c>
      <c r="D3" t="s">
        <v>462</v>
      </c>
      <c r="E3" s="64">
        <v>3154117795</v>
      </c>
      <c r="F3" s="63">
        <v>10.4427</v>
      </c>
    </row>
    <row r="4" spans="1:7" x14ac:dyDescent="0.25">
      <c r="A4">
        <v>3</v>
      </c>
      <c r="B4" t="s">
        <v>21</v>
      </c>
      <c r="C4" t="s">
        <v>19</v>
      </c>
      <c r="D4" t="s">
        <v>462</v>
      </c>
      <c r="E4" s="64">
        <v>3229206347</v>
      </c>
      <c r="F4" s="63">
        <v>7.1806999999999999</v>
      </c>
    </row>
    <row r="5" spans="1:7" x14ac:dyDescent="0.25">
      <c r="A5">
        <v>4</v>
      </c>
      <c r="B5" t="s">
        <v>149</v>
      </c>
      <c r="C5" t="s">
        <v>148</v>
      </c>
      <c r="D5" t="s">
        <v>463</v>
      </c>
      <c r="E5" s="64">
        <v>4270345739</v>
      </c>
      <c r="F5" s="63">
        <v>6.4443000000000001</v>
      </c>
    </row>
    <row r="6" spans="1:7" x14ac:dyDescent="0.25">
      <c r="A6">
        <v>5</v>
      </c>
      <c r="B6" t="s">
        <v>0</v>
      </c>
      <c r="C6" t="s">
        <v>1</v>
      </c>
      <c r="D6" t="s">
        <v>2</v>
      </c>
      <c r="E6" s="64">
        <v>4347501920</v>
      </c>
      <c r="F6" s="63">
        <v>6.4211</v>
      </c>
    </row>
    <row r="7" spans="1:7" x14ac:dyDescent="0.25">
      <c r="A7">
        <v>6</v>
      </c>
      <c r="B7" t="s">
        <v>147</v>
      </c>
      <c r="C7" t="s">
        <v>148</v>
      </c>
      <c r="D7" t="s">
        <v>469</v>
      </c>
      <c r="E7" s="64">
        <v>2708734721</v>
      </c>
      <c r="F7" s="63">
        <v>4.6862000000000004</v>
      </c>
    </row>
    <row r="8" spans="1:7" x14ac:dyDescent="0.25">
      <c r="A8">
        <v>7</v>
      </c>
      <c r="B8" t="s">
        <v>14</v>
      </c>
      <c r="C8" t="s">
        <v>15</v>
      </c>
      <c r="D8" t="s">
        <v>461</v>
      </c>
      <c r="E8" s="64">
        <v>2042254252</v>
      </c>
      <c r="F8" s="63">
        <v>3.4819</v>
      </c>
    </row>
    <row r="9" spans="1:7" x14ac:dyDescent="0.25">
      <c r="A9">
        <v>8</v>
      </c>
      <c r="B9" t="s">
        <v>115</v>
      </c>
      <c r="C9" t="s">
        <v>116</v>
      </c>
      <c r="D9" t="s">
        <v>462</v>
      </c>
      <c r="E9" s="64">
        <v>4456802294</v>
      </c>
      <c r="F9" s="63">
        <v>3.3435999999999999</v>
      </c>
    </row>
    <row r="10" spans="1:7" x14ac:dyDescent="0.25">
      <c r="A10">
        <v>9</v>
      </c>
      <c r="B10" t="s">
        <v>16</v>
      </c>
      <c r="C10" t="s">
        <v>17</v>
      </c>
      <c r="D10" t="s">
        <v>650</v>
      </c>
      <c r="E10" s="64">
        <v>1331530017</v>
      </c>
      <c r="F10" s="63">
        <v>3.1402999999999999</v>
      </c>
    </row>
    <row r="11" spans="1:7" x14ac:dyDescent="0.25">
      <c r="A11">
        <v>10</v>
      </c>
      <c r="B11" t="s">
        <v>171</v>
      </c>
      <c r="C11" t="s">
        <v>655</v>
      </c>
      <c r="D11" t="s">
        <v>461</v>
      </c>
      <c r="E11" s="64">
        <v>470453982</v>
      </c>
      <c r="F11" s="63">
        <v>1.7439</v>
      </c>
    </row>
    <row r="12" spans="1:7" x14ac:dyDescent="0.25">
      <c r="A12">
        <v>11</v>
      </c>
      <c r="B12" t="s">
        <v>180</v>
      </c>
      <c r="C12" t="s">
        <v>181</v>
      </c>
      <c r="D12" t="s">
        <v>461</v>
      </c>
      <c r="E12" s="64">
        <v>540494419</v>
      </c>
      <c r="F12" s="63">
        <v>1.7435</v>
      </c>
    </row>
    <row r="13" spans="1:7" x14ac:dyDescent="0.25">
      <c r="A13">
        <v>12</v>
      </c>
      <c r="B13" t="s">
        <v>130</v>
      </c>
      <c r="C13" t="s">
        <v>131</v>
      </c>
      <c r="D13" t="s">
        <v>461</v>
      </c>
      <c r="E13" s="64">
        <v>707311512</v>
      </c>
      <c r="F13" s="63">
        <v>1.5671999999999999</v>
      </c>
    </row>
    <row r="14" spans="1:7" x14ac:dyDescent="0.25">
      <c r="A14">
        <v>13</v>
      </c>
      <c r="B14" t="s">
        <v>18</v>
      </c>
      <c r="C14" t="s">
        <v>19</v>
      </c>
      <c r="D14" t="s">
        <v>470</v>
      </c>
      <c r="E14" s="64">
        <v>762802425</v>
      </c>
      <c r="F14" s="63">
        <v>1.5006999999999999</v>
      </c>
    </row>
    <row r="15" spans="1:7" x14ac:dyDescent="0.25">
      <c r="A15">
        <v>14</v>
      </c>
      <c r="B15" t="s">
        <v>653</v>
      </c>
      <c r="C15" t="s">
        <v>654</v>
      </c>
      <c r="D15" t="s">
        <v>461</v>
      </c>
      <c r="E15" s="64">
        <v>229063957</v>
      </c>
      <c r="F15" s="63">
        <v>1.4211</v>
      </c>
    </row>
    <row r="16" spans="1:7" x14ac:dyDescent="0.25">
      <c r="A16">
        <v>15</v>
      </c>
      <c r="B16" t="s">
        <v>50</v>
      </c>
      <c r="C16" t="s">
        <v>51</v>
      </c>
      <c r="D16" t="s">
        <v>461</v>
      </c>
      <c r="E16" s="64">
        <v>1119341518</v>
      </c>
      <c r="F16" s="63">
        <v>1.3243</v>
      </c>
      <c r="G16" s="63">
        <f>SUM(F2:F16)</f>
        <v>67.327699999999979</v>
      </c>
    </row>
    <row r="17" spans="1:7" x14ac:dyDescent="0.25">
      <c r="A17">
        <v>16</v>
      </c>
      <c r="B17" t="s">
        <v>637</v>
      </c>
      <c r="C17" t="s">
        <v>190</v>
      </c>
      <c r="D17" t="s">
        <v>638</v>
      </c>
      <c r="E17" s="64">
        <v>415131868</v>
      </c>
      <c r="F17" s="63">
        <v>1.3017000000000001</v>
      </c>
    </row>
    <row r="18" spans="1:7" x14ac:dyDescent="0.25">
      <c r="A18">
        <v>17</v>
      </c>
      <c r="B18" t="s">
        <v>23</v>
      </c>
      <c r="C18" t="s">
        <v>24</v>
      </c>
      <c r="D18" t="s">
        <v>461</v>
      </c>
      <c r="E18" s="64">
        <v>671584112</v>
      </c>
      <c r="F18" s="63">
        <v>1.2881</v>
      </c>
    </row>
    <row r="19" spans="1:7" x14ac:dyDescent="0.25">
      <c r="A19">
        <v>18</v>
      </c>
      <c r="B19" t="s">
        <v>39</v>
      </c>
      <c r="C19" t="s">
        <v>40</v>
      </c>
      <c r="D19" t="s">
        <v>461</v>
      </c>
      <c r="E19" s="64">
        <v>811139545</v>
      </c>
      <c r="F19" s="63">
        <v>1.2793000000000001</v>
      </c>
    </row>
    <row r="20" spans="1:7" x14ac:dyDescent="0.25">
      <c r="A20">
        <v>19</v>
      </c>
      <c r="B20" t="s">
        <v>156</v>
      </c>
      <c r="C20" t="s">
        <v>157</v>
      </c>
      <c r="D20" t="s">
        <v>461</v>
      </c>
      <c r="E20" s="64">
        <v>211224469</v>
      </c>
      <c r="F20" s="63">
        <v>1.2743</v>
      </c>
    </row>
    <row r="21" spans="1:7" x14ac:dyDescent="0.25">
      <c r="A21">
        <v>20</v>
      </c>
      <c r="B21" t="s">
        <v>158</v>
      </c>
      <c r="C21" t="s">
        <v>159</v>
      </c>
      <c r="D21" t="s">
        <v>461</v>
      </c>
      <c r="E21" s="64">
        <v>1115172711</v>
      </c>
      <c r="F21" s="63">
        <v>1.2433000000000001</v>
      </c>
      <c r="G21" s="63">
        <f>SUM(F2:F21)</f>
        <v>73.714399999999983</v>
      </c>
    </row>
    <row r="22" spans="1:7" x14ac:dyDescent="0.25">
      <c r="A22">
        <v>21</v>
      </c>
      <c r="B22" t="s">
        <v>97</v>
      </c>
      <c r="C22" t="s">
        <v>98</v>
      </c>
      <c r="D22" t="s">
        <v>466</v>
      </c>
      <c r="E22" s="64">
        <v>987996350</v>
      </c>
      <c r="F22" s="63">
        <v>1.2417</v>
      </c>
    </row>
    <row r="23" spans="1:7" x14ac:dyDescent="0.25">
      <c r="A23">
        <v>22</v>
      </c>
      <c r="B23" t="s">
        <v>41</v>
      </c>
      <c r="C23" t="s">
        <v>42</v>
      </c>
      <c r="D23" t="s">
        <v>467</v>
      </c>
      <c r="E23" s="64">
        <v>264536398</v>
      </c>
      <c r="F23" s="63">
        <v>1.2272000000000001</v>
      </c>
    </row>
    <row r="24" spans="1:7" x14ac:dyDescent="0.25">
      <c r="A24">
        <v>23</v>
      </c>
      <c r="B24" t="s">
        <v>120</v>
      </c>
      <c r="C24" t="s">
        <v>121</v>
      </c>
      <c r="D24" t="s">
        <v>461</v>
      </c>
      <c r="E24" s="64">
        <v>1603247593</v>
      </c>
      <c r="F24" s="63">
        <v>1.1808000000000001</v>
      </c>
    </row>
    <row r="25" spans="1:7" x14ac:dyDescent="0.25">
      <c r="A25">
        <v>24</v>
      </c>
      <c r="B25" t="s">
        <v>645</v>
      </c>
      <c r="C25" t="s">
        <v>646</v>
      </c>
      <c r="D25" t="s">
        <v>461</v>
      </c>
      <c r="E25" s="64">
        <v>1473236110</v>
      </c>
      <c r="F25" s="63">
        <v>1.1797</v>
      </c>
    </row>
    <row r="26" spans="1:7" x14ac:dyDescent="0.25">
      <c r="A26">
        <v>25</v>
      </c>
      <c r="B26" t="s">
        <v>83</v>
      </c>
      <c r="C26" t="s">
        <v>84</v>
      </c>
      <c r="D26" t="s">
        <v>461</v>
      </c>
      <c r="E26" s="64">
        <v>733692916</v>
      </c>
      <c r="F26" s="63">
        <v>1.1267</v>
      </c>
    </row>
    <row r="27" spans="1:7" x14ac:dyDescent="0.25">
      <c r="A27">
        <v>26</v>
      </c>
      <c r="B27" t="s">
        <v>191</v>
      </c>
      <c r="C27" t="s">
        <v>192</v>
      </c>
      <c r="D27" t="s">
        <v>461</v>
      </c>
      <c r="E27" s="64">
        <v>740453283</v>
      </c>
      <c r="F27" s="63">
        <v>1.1104000000000001</v>
      </c>
    </row>
    <row r="28" spans="1:7" x14ac:dyDescent="0.25">
      <c r="A28">
        <v>27</v>
      </c>
      <c r="B28" t="s">
        <v>164</v>
      </c>
      <c r="C28" t="s">
        <v>165</v>
      </c>
      <c r="D28" t="s">
        <v>166</v>
      </c>
      <c r="E28" s="64">
        <v>372112887</v>
      </c>
      <c r="F28" s="63">
        <v>1.0087999999999999</v>
      </c>
    </row>
    <row r="29" spans="1:7" x14ac:dyDescent="0.25">
      <c r="A29">
        <v>28</v>
      </c>
      <c r="B29" t="s">
        <v>647</v>
      </c>
      <c r="C29" t="s">
        <v>146</v>
      </c>
      <c r="D29" t="s">
        <v>462</v>
      </c>
      <c r="E29" s="64">
        <v>155389579</v>
      </c>
      <c r="F29" s="63">
        <v>0.99429999999999996</v>
      </c>
    </row>
    <row r="30" spans="1:7" x14ac:dyDescent="0.25">
      <c r="A30">
        <v>29</v>
      </c>
      <c r="B30" t="s">
        <v>124</v>
      </c>
      <c r="C30" t="s">
        <v>125</v>
      </c>
      <c r="D30" t="s">
        <v>465</v>
      </c>
      <c r="E30" s="64">
        <v>591009862</v>
      </c>
      <c r="F30" s="63">
        <v>0.98860000000000003</v>
      </c>
    </row>
    <row r="31" spans="1:7" x14ac:dyDescent="0.25">
      <c r="A31">
        <v>30</v>
      </c>
      <c r="B31" t="s">
        <v>91</v>
      </c>
      <c r="C31" t="s">
        <v>92</v>
      </c>
      <c r="D31" t="s">
        <v>461</v>
      </c>
      <c r="E31" s="64">
        <v>198163464</v>
      </c>
      <c r="F31" s="63">
        <v>0.88500000000000001</v>
      </c>
    </row>
    <row r="32" spans="1:7" x14ac:dyDescent="0.25">
      <c r="A32">
        <v>31</v>
      </c>
      <c r="B32" t="s">
        <v>109</v>
      </c>
      <c r="C32" t="s">
        <v>110</v>
      </c>
      <c r="D32" t="s">
        <v>461</v>
      </c>
      <c r="E32" s="64">
        <v>396959288</v>
      </c>
      <c r="F32" s="63">
        <v>0.85219999999999996</v>
      </c>
    </row>
    <row r="33" spans="1:6" x14ac:dyDescent="0.25">
      <c r="A33">
        <v>32</v>
      </c>
      <c r="B33" t="s">
        <v>162</v>
      </c>
      <c r="C33" t="s">
        <v>163</v>
      </c>
      <c r="D33" t="s">
        <v>461</v>
      </c>
      <c r="E33" s="64">
        <v>502587736</v>
      </c>
      <c r="F33" s="63">
        <v>0.8478</v>
      </c>
    </row>
    <row r="34" spans="1:6" x14ac:dyDescent="0.25">
      <c r="A34">
        <v>33</v>
      </c>
      <c r="B34" t="s">
        <v>126</v>
      </c>
      <c r="C34" t="s">
        <v>127</v>
      </c>
      <c r="D34" t="s">
        <v>462</v>
      </c>
      <c r="E34" s="64">
        <v>684223547</v>
      </c>
      <c r="F34" s="63">
        <v>0.83630000000000004</v>
      </c>
    </row>
    <row r="35" spans="1:6" x14ac:dyDescent="0.25">
      <c r="A35">
        <v>34</v>
      </c>
      <c r="B35" t="s">
        <v>48</v>
      </c>
      <c r="C35" t="s">
        <v>49</v>
      </c>
      <c r="D35" t="s">
        <v>461</v>
      </c>
      <c r="E35" s="64">
        <v>1115695556</v>
      </c>
      <c r="F35" s="63">
        <v>0.81820000000000004</v>
      </c>
    </row>
    <row r="36" spans="1:6" x14ac:dyDescent="0.25">
      <c r="A36">
        <v>35</v>
      </c>
      <c r="B36" t="s">
        <v>639</v>
      </c>
      <c r="C36" t="s">
        <v>640</v>
      </c>
      <c r="D36" t="s">
        <v>461</v>
      </c>
      <c r="E36" s="64">
        <v>807711660</v>
      </c>
      <c r="F36" s="63">
        <v>0.77769999999999995</v>
      </c>
    </row>
    <row r="37" spans="1:6" x14ac:dyDescent="0.25">
      <c r="A37">
        <v>36</v>
      </c>
      <c r="B37" t="s">
        <v>134</v>
      </c>
      <c r="C37" t="s">
        <v>135</v>
      </c>
      <c r="D37" t="s">
        <v>461</v>
      </c>
      <c r="E37" s="64">
        <v>67597600</v>
      </c>
      <c r="F37" s="63">
        <v>0.68979999999999997</v>
      </c>
    </row>
    <row r="38" spans="1:6" x14ac:dyDescent="0.25">
      <c r="A38">
        <v>37</v>
      </c>
      <c r="B38" t="s">
        <v>95</v>
      </c>
      <c r="C38" t="s">
        <v>96</v>
      </c>
      <c r="D38" t="s">
        <v>461</v>
      </c>
      <c r="E38" s="64">
        <v>309514110</v>
      </c>
      <c r="F38" s="63">
        <v>0.62319999999999998</v>
      </c>
    </row>
    <row r="39" spans="1:6" x14ac:dyDescent="0.25">
      <c r="A39">
        <v>38</v>
      </c>
      <c r="B39" t="s">
        <v>44</v>
      </c>
      <c r="C39" t="s">
        <v>45</v>
      </c>
      <c r="D39" t="s">
        <v>461</v>
      </c>
      <c r="E39" s="64">
        <v>847953269</v>
      </c>
      <c r="F39" s="63">
        <v>0.6079</v>
      </c>
    </row>
    <row r="40" spans="1:6" x14ac:dyDescent="0.25">
      <c r="A40">
        <v>39</v>
      </c>
      <c r="B40" t="s">
        <v>77</v>
      </c>
      <c r="C40" t="s">
        <v>78</v>
      </c>
      <c r="D40" t="s">
        <v>461</v>
      </c>
      <c r="E40" s="64">
        <v>203854231</v>
      </c>
      <c r="F40" s="63">
        <v>0.58930000000000005</v>
      </c>
    </row>
    <row r="41" spans="1:6" x14ac:dyDescent="0.25">
      <c r="A41">
        <v>40</v>
      </c>
      <c r="B41" t="s">
        <v>167</v>
      </c>
      <c r="C41" t="s">
        <v>168</v>
      </c>
      <c r="D41" t="s">
        <v>461</v>
      </c>
      <c r="E41" s="64">
        <v>305385123</v>
      </c>
      <c r="F41" s="63">
        <v>0.58379999999999999</v>
      </c>
    </row>
    <row r="42" spans="1:6" x14ac:dyDescent="0.25">
      <c r="A42">
        <v>41</v>
      </c>
      <c r="B42" t="s">
        <v>52</v>
      </c>
      <c r="C42" t="s">
        <v>53</v>
      </c>
      <c r="D42" t="s">
        <v>462</v>
      </c>
      <c r="E42" s="64">
        <v>969719162</v>
      </c>
      <c r="F42" s="63">
        <v>0.56679999999999997</v>
      </c>
    </row>
    <row r="43" spans="1:6" x14ac:dyDescent="0.25">
      <c r="A43">
        <v>42</v>
      </c>
      <c r="B43" t="s">
        <v>651</v>
      </c>
      <c r="C43" t="s">
        <v>652</v>
      </c>
      <c r="D43" t="s">
        <v>461</v>
      </c>
      <c r="E43" s="64">
        <v>306457227</v>
      </c>
      <c r="F43" s="63">
        <v>0.54120000000000001</v>
      </c>
    </row>
    <row r="44" spans="1:6" x14ac:dyDescent="0.25">
      <c r="A44">
        <v>43</v>
      </c>
      <c r="B44" t="s">
        <v>35</v>
      </c>
      <c r="C44" t="s">
        <v>36</v>
      </c>
      <c r="D44" t="s">
        <v>462</v>
      </c>
      <c r="E44" s="64">
        <v>222142588</v>
      </c>
      <c r="F44" s="63">
        <v>0.54069999999999996</v>
      </c>
    </row>
    <row r="45" spans="1:6" x14ac:dyDescent="0.25">
      <c r="A45">
        <v>44</v>
      </c>
      <c r="B45" t="s">
        <v>69</v>
      </c>
      <c r="C45" t="s">
        <v>70</v>
      </c>
      <c r="D45" t="s">
        <v>461</v>
      </c>
      <c r="E45" s="64">
        <v>145545632</v>
      </c>
      <c r="F45" s="63">
        <v>0.48520000000000002</v>
      </c>
    </row>
    <row r="46" spans="1:6" x14ac:dyDescent="0.25">
      <c r="A46">
        <v>45</v>
      </c>
      <c r="B46" t="s">
        <v>67</v>
      </c>
      <c r="C46" t="s">
        <v>68</v>
      </c>
      <c r="D46" t="s">
        <v>2</v>
      </c>
      <c r="E46" s="64">
        <v>630161054</v>
      </c>
      <c r="F46" s="63">
        <v>0.4335</v>
      </c>
    </row>
    <row r="47" spans="1:6" x14ac:dyDescent="0.25">
      <c r="A47">
        <v>46</v>
      </c>
      <c r="B47" t="s">
        <v>65</v>
      </c>
      <c r="C47" t="s">
        <v>66</v>
      </c>
      <c r="D47" t="s">
        <v>461</v>
      </c>
      <c r="E47" s="64">
        <v>155785693</v>
      </c>
      <c r="F47" s="63">
        <v>0.42470000000000002</v>
      </c>
    </row>
    <row r="48" spans="1:6" x14ac:dyDescent="0.25">
      <c r="A48">
        <v>47</v>
      </c>
      <c r="B48" t="s">
        <v>273</v>
      </c>
      <c r="C48" t="s">
        <v>274</v>
      </c>
      <c r="D48" t="s">
        <v>461</v>
      </c>
      <c r="E48" s="64">
        <v>172367479</v>
      </c>
      <c r="F48" s="63">
        <v>0.3916</v>
      </c>
    </row>
    <row r="49" spans="1:6" x14ac:dyDescent="0.25">
      <c r="A49">
        <v>48</v>
      </c>
      <c r="B49" t="s">
        <v>140</v>
      </c>
      <c r="C49" t="s">
        <v>141</v>
      </c>
      <c r="D49" t="s">
        <v>469</v>
      </c>
      <c r="E49" s="64">
        <v>267482247</v>
      </c>
      <c r="F49" s="63">
        <v>0.39040000000000002</v>
      </c>
    </row>
    <row r="50" spans="1:6" x14ac:dyDescent="0.25">
      <c r="A50">
        <v>49</v>
      </c>
      <c r="B50" t="s">
        <v>101</v>
      </c>
      <c r="C50" t="s">
        <v>102</v>
      </c>
      <c r="D50" t="s">
        <v>628</v>
      </c>
      <c r="E50" s="64">
        <v>568684605</v>
      </c>
      <c r="F50" s="63">
        <v>0.35020000000000001</v>
      </c>
    </row>
    <row r="51" spans="1:6" x14ac:dyDescent="0.25">
      <c r="A51">
        <v>50</v>
      </c>
      <c r="B51" t="s">
        <v>635</v>
      </c>
      <c r="C51" t="s">
        <v>636</v>
      </c>
      <c r="D51" t="s">
        <v>461</v>
      </c>
      <c r="E51" s="64">
        <v>166612283</v>
      </c>
      <c r="F51" s="63">
        <v>0.34489999999999998</v>
      </c>
    </row>
    <row r="52" spans="1:6" x14ac:dyDescent="0.25">
      <c r="A52">
        <v>51</v>
      </c>
      <c r="B52" t="s">
        <v>173</v>
      </c>
      <c r="C52" t="s">
        <v>174</v>
      </c>
      <c r="D52" t="s">
        <v>465</v>
      </c>
      <c r="E52" s="64">
        <v>218568280</v>
      </c>
      <c r="F52" s="63">
        <v>0.34420000000000001</v>
      </c>
    </row>
    <row r="53" spans="1:6" x14ac:dyDescent="0.25">
      <c r="A53">
        <v>52</v>
      </c>
      <c r="B53" t="s">
        <v>79</v>
      </c>
      <c r="C53" t="s">
        <v>80</v>
      </c>
      <c r="D53" t="s">
        <v>470</v>
      </c>
      <c r="E53" s="64">
        <v>269667840</v>
      </c>
      <c r="F53" s="63">
        <v>0.3342</v>
      </c>
    </row>
    <row r="54" spans="1:6" x14ac:dyDescent="0.25">
      <c r="A54">
        <v>53</v>
      </c>
      <c r="B54" t="s">
        <v>182</v>
      </c>
      <c r="C54" t="s">
        <v>183</v>
      </c>
      <c r="D54" t="s">
        <v>467</v>
      </c>
      <c r="E54" s="64">
        <v>513232801</v>
      </c>
      <c r="F54" s="63">
        <v>0.32450000000000001</v>
      </c>
    </row>
    <row r="55" spans="1:6" x14ac:dyDescent="0.25">
      <c r="A55">
        <v>54</v>
      </c>
      <c r="B55" t="s">
        <v>82</v>
      </c>
      <c r="C55" t="s">
        <v>80</v>
      </c>
      <c r="D55" t="s">
        <v>471</v>
      </c>
      <c r="E55" s="64">
        <v>225964766</v>
      </c>
      <c r="F55" s="63">
        <v>0.32040000000000002</v>
      </c>
    </row>
    <row r="56" spans="1:6" x14ac:dyDescent="0.25">
      <c r="A56">
        <v>55</v>
      </c>
      <c r="B56" t="s">
        <v>85</v>
      </c>
      <c r="C56" t="s">
        <v>86</v>
      </c>
      <c r="D56" t="s">
        <v>461</v>
      </c>
      <c r="E56" s="64">
        <v>295342982</v>
      </c>
      <c r="F56" s="63">
        <v>0.31030000000000002</v>
      </c>
    </row>
    <row r="57" spans="1:6" x14ac:dyDescent="0.25">
      <c r="A57">
        <v>56</v>
      </c>
      <c r="B57" t="s">
        <v>138</v>
      </c>
      <c r="C57" t="s">
        <v>139</v>
      </c>
      <c r="D57" t="s">
        <v>461</v>
      </c>
      <c r="E57" s="64">
        <v>292037854</v>
      </c>
      <c r="F57" s="63">
        <v>0.2974</v>
      </c>
    </row>
    <row r="58" spans="1:6" x14ac:dyDescent="0.25">
      <c r="A58">
        <v>57</v>
      </c>
      <c r="B58" t="s">
        <v>154</v>
      </c>
      <c r="C58" t="s">
        <v>155</v>
      </c>
      <c r="D58" t="s">
        <v>461</v>
      </c>
      <c r="E58" s="64">
        <v>240546771</v>
      </c>
      <c r="F58" s="63">
        <v>0.29699999999999999</v>
      </c>
    </row>
    <row r="59" spans="1:6" x14ac:dyDescent="0.25">
      <c r="A59">
        <v>58</v>
      </c>
      <c r="B59" t="s">
        <v>648</v>
      </c>
      <c r="C59" t="s">
        <v>649</v>
      </c>
      <c r="D59" t="s">
        <v>461</v>
      </c>
      <c r="E59" s="64">
        <v>58691428</v>
      </c>
      <c r="F59" s="63">
        <v>0.2387</v>
      </c>
    </row>
    <row r="60" spans="1:6" x14ac:dyDescent="0.25">
      <c r="A60">
        <v>59</v>
      </c>
      <c r="B60" t="s">
        <v>71</v>
      </c>
      <c r="C60" t="s">
        <v>72</v>
      </c>
      <c r="D60" t="s">
        <v>461</v>
      </c>
      <c r="E60" s="64">
        <v>255196489</v>
      </c>
      <c r="F60" s="63">
        <v>0.2185</v>
      </c>
    </row>
    <row r="61" spans="1:6" x14ac:dyDescent="0.25">
      <c r="A61">
        <v>60</v>
      </c>
      <c r="B61" t="s">
        <v>111</v>
      </c>
      <c r="C61" t="s">
        <v>112</v>
      </c>
      <c r="D61" t="s">
        <v>461</v>
      </c>
      <c r="E61" s="64">
        <v>86705835</v>
      </c>
      <c r="F61" s="63">
        <v>0.20810000000000001</v>
      </c>
    </row>
    <row r="62" spans="1:6" x14ac:dyDescent="0.25">
      <c r="A62">
        <v>61</v>
      </c>
      <c r="B62" t="s">
        <v>656</v>
      </c>
      <c r="C62" t="s">
        <v>642</v>
      </c>
      <c r="D62" t="s">
        <v>465</v>
      </c>
      <c r="E62" s="64">
        <v>138560492</v>
      </c>
      <c r="F62" s="63">
        <v>0.18340000000000001</v>
      </c>
    </row>
    <row r="63" spans="1:6" x14ac:dyDescent="0.25">
      <c r="A63">
        <v>62</v>
      </c>
      <c r="B63" t="s">
        <v>136</v>
      </c>
      <c r="C63" t="s">
        <v>137</v>
      </c>
      <c r="D63" t="s">
        <v>461</v>
      </c>
      <c r="E63" s="64">
        <v>402731780</v>
      </c>
      <c r="F63" s="63">
        <v>0.1804</v>
      </c>
    </row>
    <row r="64" spans="1:6" x14ac:dyDescent="0.25">
      <c r="A64">
        <v>63</v>
      </c>
      <c r="B64" t="s">
        <v>60</v>
      </c>
      <c r="C64" t="s">
        <v>61</v>
      </c>
      <c r="D64" t="s">
        <v>471</v>
      </c>
      <c r="E64" s="64">
        <v>101013662</v>
      </c>
      <c r="F64" s="63">
        <v>0.1613</v>
      </c>
    </row>
    <row r="65" spans="1:6" x14ac:dyDescent="0.25">
      <c r="A65">
        <v>64</v>
      </c>
      <c r="B65" t="s">
        <v>103</v>
      </c>
      <c r="C65" t="s">
        <v>104</v>
      </c>
      <c r="D65" t="s">
        <v>463</v>
      </c>
      <c r="E65" s="64">
        <v>133111745</v>
      </c>
      <c r="F65" s="63">
        <v>0.1169</v>
      </c>
    </row>
    <row r="66" spans="1:6" x14ac:dyDescent="0.25">
      <c r="A66">
        <v>65</v>
      </c>
      <c r="B66" t="s">
        <v>75</v>
      </c>
      <c r="C66" t="s">
        <v>76</v>
      </c>
      <c r="D66" t="s">
        <v>461</v>
      </c>
      <c r="E66" s="64">
        <v>195023762</v>
      </c>
      <c r="F66" s="63">
        <v>0.1084</v>
      </c>
    </row>
  </sheetData>
  <sortState xmlns:xlrd2="http://schemas.microsoft.com/office/spreadsheetml/2017/richdata2" ref="B2:F66">
    <sortCondition descending="1" ref="F1:F66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ABF5A-6572-40B9-A216-80796479A041}">
  <dimension ref="A1:G69"/>
  <sheetViews>
    <sheetView workbookViewId="0">
      <selection activeCell="M11" sqref="M11"/>
    </sheetView>
  </sheetViews>
  <sheetFormatPr defaultRowHeight="15" x14ac:dyDescent="0.25"/>
  <cols>
    <col min="2" max="2" width="13.42578125" customWidth="1"/>
    <col min="3" max="3" width="20.5703125" customWidth="1"/>
    <col min="4" max="4" width="12.42578125" customWidth="1"/>
    <col min="5" max="5" width="17.5703125" style="64" customWidth="1"/>
    <col min="6" max="6" width="14.140625" style="63" customWidth="1"/>
  </cols>
  <sheetData>
    <row r="1" spans="1:7" x14ac:dyDescent="0.25">
      <c r="A1" t="s">
        <v>662</v>
      </c>
      <c r="B1" s="39" t="s">
        <v>622</v>
      </c>
      <c r="C1" s="39" t="s">
        <v>623</v>
      </c>
      <c r="D1" s="39" t="s">
        <v>626</v>
      </c>
      <c r="E1" s="53" t="s">
        <v>624</v>
      </c>
      <c r="F1" s="45" t="s">
        <v>625</v>
      </c>
    </row>
    <row r="2" spans="1:7" x14ac:dyDescent="0.25">
      <c r="A2">
        <v>1</v>
      </c>
      <c r="B2" t="s">
        <v>118</v>
      </c>
      <c r="C2" t="s">
        <v>119</v>
      </c>
      <c r="D2" t="s">
        <v>462</v>
      </c>
      <c r="E2" s="64">
        <v>4738562684</v>
      </c>
      <c r="F2" s="63">
        <v>9.1945999999999994</v>
      </c>
    </row>
    <row r="3" spans="1:7" x14ac:dyDescent="0.25">
      <c r="A3">
        <v>2</v>
      </c>
      <c r="B3" t="s">
        <v>185</v>
      </c>
      <c r="C3" t="s">
        <v>186</v>
      </c>
      <c r="D3" t="s">
        <v>461</v>
      </c>
      <c r="E3" s="64">
        <v>3147743563</v>
      </c>
      <c r="F3" s="63">
        <v>8.2043999999999997</v>
      </c>
    </row>
    <row r="4" spans="1:7" x14ac:dyDescent="0.25">
      <c r="A4">
        <v>3</v>
      </c>
      <c r="B4" t="s">
        <v>21</v>
      </c>
      <c r="C4" t="s">
        <v>19</v>
      </c>
      <c r="D4" t="s">
        <v>462</v>
      </c>
      <c r="E4" s="64">
        <v>3873597664</v>
      </c>
      <c r="F4" s="63">
        <v>7.3002000000000002</v>
      </c>
    </row>
    <row r="5" spans="1:7" x14ac:dyDescent="0.25">
      <c r="A5">
        <v>4</v>
      </c>
      <c r="B5" t="s">
        <v>149</v>
      </c>
      <c r="C5" t="s">
        <v>148</v>
      </c>
      <c r="D5" t="s">
        <v>463</v>
      </c>
      <c r="E5" s="64">
        <v>4520185835</v>
      </c>
      <c r="F5" s="63">
        <v>6.5926999999999998</v>
      </c>
    </row>
    <row r="6" spans="1:7" x14ac:dyDescent="0.25">
      <c r="A6">
        <v>5</v>
      </c>
      <c r="B6" t="s">
        <v>14</v>
      </c>
      <c r="C6" t="s">
        <v>15</v>
      </c>
      <c r="D6" t="s">
        <v>461</v>
      </c>
      <c r="E6" s="64">
        <v>2019623983</v>
      </c>
      <c r="F6" s="63">
        <v>5.1749999999999998</v>
      </c>
    </row>
    <row r="7" spans="1:7" x14ac:dyDescent="0.25">
      <c r="A7">
        <v>6</v>
      </c>
      <c r="B7" t="s">
        <v>147</v>
      </c>
      <c r="C7" t="s">
        <v>148</v>
      </c>
      <c r="D7" t="s">
        <v>469</v>
      </c>
      <c r="E7" s="64">
        <v>2949857480</v>
      </c>
      <c r="F7" s="63">
        <v>4.7697000000000003</v>
      </c>
    </row>
    <row r="8" spans="1:7" x14ac:dyDescent="0.25">
      <c r="A8">
        <v>7</v>
      </c>
      <c r="B8" t="s">
        <v>0</v>
      </c>
      <c r="C8" t="s">
        <v>1</v>
      </c>
      <c r="D8" t="s">
        <v>2</v>
      </c>
      <c r="E8" s="64">
        <v>4344066764</v>
      </c>
      <c r="F8" s="63">
        <v>4.6512000000000002</v>
      </c>
    </row>
    <row r="9" spans="1:7" x14ac:dyDescent="0.25">
      <c r="A9">
        <v>8</v>
      </c>
      <c r="B9" t="s">
        <v>16</v>
      </c>
      <c r="C9" t="s">
        <v>17</v>
      </c>
      <c r="D9" t="s">
        <v>643</v>
      </c>
      <c r="E9" s="64">
        <v>1332879313</v>
      </c>
      <c r="F9" s="63">
        <v>3.5251000000000001</v>
      </c>
    </row>
    <row r="10" spans="1:7" x14ac:dyDescent="0.25">
      <c r="A10">
        <v>9</v>
      </c>
      <c r="B10" t="s">
        <v>115</v>
      </c>
      <c r="C10" t="s">
        <v>116</v>
      </c>
      <c r="D10" t="s">
        <v>462</v>
      </c>
      <c r="E10" s="64">
        <v>4494029326</v>
      </c>
      <c r="F10" s="63">
        <v>3.1539000000000001</v>
      </c>
    </row>
    <row r="11" spans="1:7" x14ac:dyDescent="0.25">
      <c r="A11">
        <v>10</v>
      </c>
      <c r="B11" t="s">
        <v>120</v>
      </c>
      <c r="C11" t="s">
        <v>121</v>
      </c>
      <c r="D11" t="s">
        <v>461</v>
      </c>
      <c r="E11" s="64">
        <v>1620646499</v>
      </c>
      <c r="F11" s="63">
        <v>2.7473999999999998</v>
      </c>
    </row>
    <row r="12" spans="1:7" x14ac:dyDescent="0.25">
      <c r="A12">
        <v>11</v>
      </c>
      <c r="B12" t="s">
        <v>130</v>
      </c>
      <c r="C12" t="s">
        <v>131</v>
      </c>
      <c r="D12" t="s">
        <v>461</v>
      </c>
      <c r="E12" s="64">
        <v>781384541</v>
      </c>
      <c r="F12" s="63">
        <v>2.2591000000000001</v>
      </c>
    </row>
    <row r="13" spans="1:7" x14ac:dyDescent="0.25">
      <c r="A13">
        <v>12</v>
      </c>
      <c r="B13" t="s">
        <v>18</v>
      </c>
      <c r="C13" t="s">
        <v>19</v>
      </c>
      <c r="D13" t="s">
        <v>470</v>
      </c>
      <c r="E13" s="64">
        <v>1122288933</v>
      </c>
      <c r="F13" s="63">
        <v>1.9449000000000001</v>
      </c>
    </row>
    <row r="14" spans="1:7" x14ac:dyDescent="0.25">
      <c r="A14">
        <v>13</v>
      </c>
      <c r="B14" t="s">
        <v>113</v>
      </c>
      <c r="C14" t="s">
        <v>114</v>
      </c>
      <c r="D14" t="s">
        <v>461</v>
      </c>
      <c r="E14" s="64">
        <v>310415298</v>
      </c>
      <c r="F14" s="63">
        <v>1.9262999999999999</v>
      </c>
    </row>
    <row r="15" spans="1:7" x14ac:dyDescent="0.25">
      <c r="A15">
        <v>14</v>
      </c>
      <c r="B15" t="s">
        <v>39</v>
      </c>
      <c r="C15" t="s">
        <v>40</v>
      </c>
      <c r="D15" t="s">
        <v>461</v>
      </c>
      <c r="E15" s="64">
        <v>811416229</v>
      </c>
      <c r="F15" s="63">
        <v>1.77</v>
      </c>
    </row>
    <row r="16" spans="1:7" x14ac:dyDescent="0.25">
      <c r="A16">
        <v>15</v>
      </c>
      <c r="B16" t="s">
        <v>162</v>
      </c>
      <c r="C16" t="s">
        <v>163</v>
      </c>
      <c r="D16" t="s">
        <v>461</v>
      </c>
      <c r="E16" s="64">
        <v>560843706</v>
      </c>
      <c r="F16" s="63">
        <v>1.5088999999999999</v>
      </c>
      <c r="G16" s="63">
        <f>SUM(F2:F16)</f>
        <v>64.723399999999998</v>
      </c>
    </row>
    <row r="17" spans="1:7" x14ac:dyDescent="0.25">
      <c r="A17">
        <v>16</v>
      </c>
      <c r="B17" t="s">
        <v>158</v>
      </c>
      <c r="C17" t="s">
        <v>159</v>
      </c>
      <c r="D17" t="s">
        <v>461</v>
      </c>
      <c r="E17" s="64">
        <v>1053753059</v>
      </c>
      <c r="F17" s="63">
        <v>1.3319000000000001</v>
      </c>
    </row>
    <row r="18" spans="1:7" x14ac:dyDescent="0.25">
      <c r="A18">
        <v>17</v>
      </c>
      <c r="B18" t="s">
        <v>637</v>
      </c>
      <c r="C18" t="s">
        <v>190</v>
      </c>
      <c r="D18" t="s">
        <v>638</v>
      </c>
      <c r="E18" s="64">
        <v>415131868</v>
      </c>
      <c r="F18" s="63">
        <v>1.2743</v>
      </c>
    </row>
    <row r="19" spans="1:7" x14ac:dyDescent="0.25">
      <c r="A19">
        <v>18</v>
      </c>
      <c r="B19" t="s">
        <v>23</v>
      </c>
      <c r="C19" t="s">
        <v>24</v>
      </c>
      <c r="D19" t="s">
        <v>461</v>
      </c>
      <c r="E19" s="64">
        <v>671601167</v>
      </c>
      <c r="F19" s="63">
        <v>1.2548999999999999</v>
      </c>
    </row>
    <row r="20" spans="1:7" x14ac:dyDescent="0.25">
      <c r="A20">
        <v>19</v>
      </c>
      <c r="B20" t="s">
        <v>171</v>
      </c>
      <c r="C20" t="s">
        <v>172</v>
      </c>
      <c r="D20" t="s">
        <v>461</v>
      </c>
      <c r="E20" s="64">
        <v>725859318</v>
      </c>
      <c r="F20" s="63">
        <v>1.2073</v>
      </c>
    </row>
    <row r="21" spans="1:7" x14ac:dyDescent="0.25">
      <c r="A21">
        <v>20</v>
      </c>
      <c r="B21" t="s">
        <v>37</v>
      </c>
      <c r="C21" t="s">
        <v>38</v>
      </c>
      <c r="D21" t="s">
        <v>461</v>
      </c>
      <c r="E21" s="64">
        <v>728125000</v>
      </c>
      <c r="F21" s="63">
        <v>1.1994</v>
      </c>
      <c r="G21" s="63">
        <f>SUM(F2:F21)</f>
        <v>70.991200000000006</v>
      </c>
    </row>
    <row r="22" spans="1:7" x14ac:dyDescent="0.25">
      <c r="A22">
        <v>21</v>
      </c>
      <c r="B22" t="s">
        <v>99</v>
      </c>
      <c r="C22" t="s">
        <v>100</v>
      </c>
      <c r="D22" t="s">
        <v>461</v>
      </c>
      <c r="E22" s="64">
        <v>364914616</v>
      </c>
      <c r="F22" s="63">
        <v>1.1704000000000001</v>
      </c>
    </row>
    <row r="23" spans="1:7" x14ac:dyDescent="0.25">
      <c r="A23">
        <v>22</v>
      </c>
      <c r="B23" t="s">
        <v>134</v>
      </c>
      <c r="C23" t="s">
        <v>135</v>
      </c>
      <c r="D23" t="s">
        <v>461</v>
      </c>
      <c r="E23" s="64">
        <v>554184304</v>
      </c>
      <c r="F23" s="63">
        <v>1.1501999999999999</v>
      </c>
    </row>
    <row r="24" spans="1:7" x14ac:dyDescent="0.25">
      <c r="A24">
        <v>23</v>
      </c>
      <c r="B24" t="s">
        <v>156</v>
      </c>
      <c r="C24" t="s">
        <v>157</v>
      </c>
      <c r="D24" t="s">
        <v>461</v>
      </c>
      <c r="E24" s="64">
        <v>213553757</v>
      </c>
      <c r="F24" s="63">
        <v>1.1242000000000001</v>
      </c>
    </row>
    <row r="25" spans="1:7" x14ac:dyDescent="0.25">
      <c r="A25">
        <v>24</v>
      </c>
      <c r="B25" t="s">
        <v>91</v>
      </c>
      <c r="C25" t="s">
        <v>92</v>
      </c>
      <c r="D25" t="s">
        <v>461</v>
      </c>
      <c r="E25" s="64">
        <v>198202097</v>
      </c>
      <c r="F25" s="63">
        <v>1.0855999999999999</v>
      </c>
    </row>
    <row r="26" spans="1:7" x14ac:dyDescent="0.25">
      <c r="A26">
        <v>25</v>
      </c>
      <c r="B26" t="s">
        <v>48</v>
      </c>
      <c r="C26" t="s">
        <v>49</v>
      </c>
      <c r="D26" t="s">
        <v>461</v>
      </c>
      <c r="E26" s="64">
        <v>1115695556</v>
      </c>
      <c r="F26" s="63">
        <v>1.0368999999999999</v>
      </c>
    </row>
    <row r="27" spans="1:7" x14ac:dyDescent="0.25">
      <c r="A27">
        <v>26</v>
      </c>
      <c r="B27" t="s">
        <v>180</v>
      </c>
      <c r="C27" t="s">
        <v>181</v>
      </c>
      <c r="D27" t="s">
        <v>464</v>
      </c>
      <c r="E27" s="64">
        <v>1085159631</v>
      </c>
      <c r="F27" s="63">
        <v>1.0190999999999999</v>
      </c>
    </row>
    <row r="28" spans="1:7" x14ac:dyDescent="0.25">
      <c r="A28">
        <v>27</v>
      </c>
      <c r="B28" t="s">
        <v>167</v>
      </c>
      <c r="C28" t="s">
        <v>168</v>
      </c>
      <c r="D28" t="s">
        <v>461</v>
      </c>
      <c r="E28" s="64">
        <v>339982576</v>
      </c>
      <c r="F28" s="63">
        <v>1.0053000000000001</v>
      </c>
    </row>
    <row r="29" spans="1:7" x14ac:dyDescent="0.25">
      <c r="A29">
        <v>28</v>
      </c>
      <c r="B29" t="s">
        <v>191</v>
      </c>
      <c r="C29" t="s">
        <v>192</v>
      </c>
      <c r="D29" t="s">
        <v>461</v>
      </c>
      <c r="E29" s="64">
        <v>740696136</v>
      </c>
      <c r="F29" s="63">
        <v>0.95320000000000005</v>
      </c>
    </row>
    <row r="30" spans="1:7" x14ac:dyDescent="0.25">
      <c r="A30">
        <v>29</v>
      </c>
      <c r="B30" t="s">
        <v>164</v>
      </c>
      <c r="C30" t="s">
        <v>165</v>
      </c>
      <c r="D30" t="s">
        <v>166</v>
      </c>
      <c r="E30" s="64">
        <v>362227661</v>
      </c>
      <c r="F30" s="63">
        <v>0.88249999999999995</v>
      </c>
    </row>
    <row r="31" spans="1:7" x14ac:dyDescent="0.25">
      <c r="A31">
        <v>30</v>
      </c>
      <c r="B31" t="s">
        <v>645</v>
      </c>
      <c r="C31" t="s">
        <v>646</v>
      </c>
      <c r="D31" t="s">
        <v>464</v>
      </c>
      <c r="E31" s="64">
        <v>1498404420</v>
      </c>
      <c r="F31" s="63">
        <v>0.86380000000000001</v>
      </c>
    </row>
    <row r="32" spans="1:7" x14ac:dyDescent="0.25">
      <c r="A32">
        <v>31</v>
      </c>
      <c r="B32" t="s">
        <v>11</v>
      </c>
      <c r="C32" t="s">
        <v>12</v>
      </c>
      <c r="D32" t="s">
        <v>463</v>
      </c>
      <c r="E32" s="64">
        <v>317029956</v>
      </c>
      <c r="F32" s="63">
        <v>0.85399999999999998</v>
      </c>
    </row>
    <row r="33" spans="1:6" x14ac:dyDescent="0.25">
      <c r="A33">
        <v>32</v>
      </c>
      <c r="B33" t="s">
        <v>52</v>
      </c>
      <c r="C33" t="s">
        <v>53</v>
      </c>
      <c r="D33" t="s">
        <v>462</v>
      </c>
      <c r="E33" s="64">
        <v>969723092</v>
      </c>
      <c r="F33" s="63">
        <v>0.81859999999999999</v>
      </c>
    </row>
    <row r="34" spans="1:6" x14ac:dyDescent="0.25">
      <c r="A34">
        <v>33</v>
      </c>
      <c r="B34" t="s">
        <v>647</v>
      </c>
      <c r="C34" t="s">
        <v>146</v>
      </c>
      <c r="D34" t="s">
        <v>462</v>
      </c>
      <c r="E34" s="64">
        <v>156396724</v>
      </c>
      <c r="F34" s="63">
        <v>0.78320000000000001</v>
      </c>
    </row>
    <row r="35" spans="1:6" x14ac:dyDescent="0.25">
      <c r="A35">
        <v>34</v>
      </c>
      <c r="B35" t="s">
        <v>83</v>
      </c>
      <c r="C35" t="s">
        <v>84</v>
      </c>
      <c r="D35" t="s">
        <v>461</v>
      </c>
      <c r="E35" s="64">
        <v>735868554</v>
      </c>
      <c r="F35" s="63">
        <v>0.75539999999999996</v>
      </c>
    </row>
    <row r="36" spans="1:6" x14ac:dyDescent="0.25">
      <c r="A36">
        <v>35</v>
      </c>
      <c r="B36" t="s">
        <v>97</v>
      </c>
      <c r="C36" t="s">
        <v>98</v>
      </c>
      <c r="D36" t="s">
        <v>462</v>
      </c>
      <c r="E36" s="64">
        <v>1026217784</v>
      </c>
      <c r="F36" s="63">
        <v>0.75539999999999996</v>
      </c>
    </row>
    <row r="37" spans="1:6" x14ac:dyDescent="0.25">
      <c r="A37">
        <v>36</v>
      </c>
      <c r="B37" t="s">
        <v>109</v>
      </c>
      <c r="C37" t="s">
        <v>110</v>
      </c>
      <c r="D37" t="s">
        <v>461</v>
      </c>
      <c r="E37" s="64">
        <v>407518048</v>
      </c>
      <c r="F37" s="63">
        <v>0.74980000000000002</v>
      </c>
    </row>
    <row r="38" spans="1:6" x14ac:dyDescent="0.25">
      <c r="A38">
        <v>37</v>
      </c>
      <c r="B38" t="s">
        <v>126</v>
      </c>
      <c r="C38" t="s">
        <v>127</v>
      </c>
      <c r="D38" t="s">
        <v>462</v>
      </c>
      <c r="E38" s="64">
        <v>688058339</v>
      </c>
      <c r="F38" s="63">
        <v>0.73709999999999998</v>
      </c>
    </row>
    <row r="39" spans="1:6" x14ac:dyDescent="0.25">
      <c r="A39">
        <v>38</v>
      </c>
      <c r="B39" t="s">
        <v>79</v>
      </c>
      <c r="C39" t="s">
        <v>80</v>
      </c>
      <c r="D39" t="s">
        <v>470</v>
      </c>
      <c r="E39" s="64">
        <v>269659841</v>
      </c>
      <c r="F39" s="63">
        <v>0.70850000000000002</v>
      </c>
    </row>
    <row r="40" spans="1:6" x14ac:dyDescent="0.25">
      <c r="A40">
        <v>39</v>
      </c>
      <c r="B40" t="s">
        <v>273</v>
      </c>
      <c r="C40" t="s">
        <v>274</v>
      </c>
      <c r="D40" t="s">
        <v>461</v>
      </c>
      <c r="E40" s="64">
        <v>175045801</v>
      </c>
      <c r="F40" s="63">
        <v>0.66049999999999998</v>
      </c>
    </row>
    <row r="41" spans="1:6" x14ac:dyDescent="0.25">
      <c r="A41">
        <v>40</v>
      </c>
      <c r="B41" t="s">
        <v>77</v>
      </c>
      <c r="C41" t="s">
        <v>78</v>
      </c>
      <c r="D41" t="s">
        <v>461</v>
      </c>
      <c r="E41" s="64">
        <v>254813401</v>
      </c>
      <c r="F41" s="63">
        <v>0.65549999999999997</v>
      </c>
    </row>
    <row r="42" spans="1:6" x14ac:dyDescent="0.25">
      <c r="A42">
        <v>41</v>
      </c>
      <c r="B42" t="s">
        <v>31</v>
      </c>
      <c r="C42" t="s">
        <v>32</v>
      </c>
      <c r="D42" t="s">
        <v>465</v>
      </c>
      <c r="E42" s="64">
        <v>194086927</v>
      </c>
      <c r="F42" s="63">
        <v>0.65029999999999999</v>
      </c>
    </row>
    <row r="43" spans="1:6" x14ac:dyDescent="0.25">
      <c r="A43">
        <v>42</v>
      </c>
      <c r="B43" t="s">
        <v>44</v>
      </c>
      <c r="C43" t="s">
        <v>45</v>
      </c>
      <c r="D43" t="s">
        <v>461</v>
      </c>
      <c r="E43" s="64">
        <v>840057819</v>
      </c>
      <c r="F43" s="63">
        <v>0.64759999999999995</v>
      </c>
    </row>
    <row r="44" spans="1:6" x14ac:dyDescent="0.25">
      <c r="A44">
        <v>43</v>
      </c>
      <c r="B44" t="s">
        <v>82</v>
      </c>
      <c r="C44" t="s">
        <v>80</v>
      </c>
      <c r="D44" t="s">
        <v>471</v>
      </c>
      <c r="E44" s="64">
        <v>225964766</v>
      </c>
      <c r="F44" s="63">
        <v>0.60670000000000002</v>
      </c>
    </row>
    <row r="45" spans="1:6" x14ac:dyDescent="0.25">
      <c r="A45">
        <v>44</v>
      </c>
      <c r="B45" t="s">
        <v>639</v>
      </c>
      <c r="C45" t="s">
        <v>640</v>
      </c>
      <c r="D45" t="s">
        <v>461</v>
      </c>
      <c r="E45" s="64">
        <v>807711660</v>
      </c>
      <c r="F45" s="63">
        <v>0.56820000000000004</v>
      </c>
    </row>
    <row r="46" spans="1:6" x14ac:dyDescent="0.25">
      <c r="A46">
        <v>45</v>
      </c>
      <c r="B46" t="s">
        <v>124</v>
      </c>
      <c r="C46" t="s">
        <v>125</v>
      </c>
      <c r="D46" t="s">
        <v>465</v>
      </c>
      <c r="E46" s="64">
        <v>637772642</v>
      </c>
      <c r="F46" s="63">
        <v>0.54930000000000001</v>
      </c>
    </row>
    <row r="47" spans="1:6" x14ac:dyDescent="0.25">
      <c r="A47">
        <v>46</v>
      </c>
      <c r="B47" t="s">
        <v>193</v>
      </c>
      <c r="C47" t="s">
        <v>194</v>
      </c>
      <c r="D47" t="s">
        <v>461</v>
      </c>
      <c r="E47" s="64">
        <v>299667897</v>
      </c>
      <c r="F47" s="63">
        <v>0.53920000000000001</v>
      </c>
    </row>
    <row r="48" spans="1:6" x14ac:dyDescent="0.25">
      <c r="A48">
        <v>47</v>
      </c>
      <c r="B48" t="s">
        <v>67</v>
      </c>
      <c r="C48" t="s">
        <v>68</v>
      </c>
      <c r="D48" t="s">
        <v>2</v>
      </c>
      <c r="E48" s="64">
        <v>642387288</v>
      </c>
      <c r="F48" s="63">
        <v>0.52759999999999996</v>
      </c>
    </row>
    <row r="49" spans="1:6" x14ac:dyDescent="0.25">
      <c r="A49">
        <v>48</v>
      </c>
      <c r="B49" t="s">
        <v>635</v>
      </c>
      <c r="C49" t="s">
        <v>636</v>
      </c>
      <c r="D49" t="s">
        <v>629</v>
      </c>
      <c r="E49" s="64">
        <v>192547092</v>
      </c>
      <c r="F49" s="63">
        <v>0.51759999999999995</v>
      </c>
    </row>
    <row r="50" spans="1:6" x14ac:dyDescent="0.25">
      <c r="A50">
        <v>49</v>
      </c>
      <c r="B50" t="s">
        <v>641</v>
      </c>
      <c r="C50" t="s">
        <v>642</v>
      </c>
      <c r="D50" t="s">
        <v>461</v>
      </c>
      <c r="E50" s="64">
        <v>1147404383</v>
      </c>
      <c r="F50" s="63">
        <v>0.50719999999999998</v>
      </c>
    </row>
    <row r="51" spans="1:6" x14ac:dyDescent="0.25">
      <c r="A51">
        <v>50</v>
      </c>
      <c r="B51" t="s">
        <v>50</v>
      </c>
      <c r="C51" t="s">
        <v>51</v>
      </c>
      <c r="D51" t="s">
        <v>461</v>
      </c>
      <c r="E51" s="64">
        <v>1118386806</v>
      </c>
      <c r="F51" s="63">
        <v>0.49569999999999997</v>
      </c>
    </row>
    <row r="52" spans="1:6" x14ac:dyDescent="0.25">
      <c r="A52">
        <v>51</v>
      </c>
      <c r="B52" t="s">
        <v>69</v>
      </c>
      <c r="C52" t="s">
        <v>70</v>
      </c>
      <c r="D52" t="s">
        <v>461</v>
      </c>
      <c r="E52" s="64">
        <v>147421042</v>
      </c>
      <c r="F52" s="63">
        <v>0.44740000000000002</v>
      </c>
    </row>
    <row r="53" spans="1:6" x14ac:dyDescent="0.25">
      <c r="A53">
        <v>52</v>
      </c>
      <c r="B53" t="s">
        <v>65</v>
      </c>
      <c r="C53" t="s">
        <v>66</v>
      </c>
      <c r="D53" t="s">
        <v>461</v>
      </c>
      <c r="E53" s="64">
        <v>155404710</v>
      </c>
      <c r="F53" s="63">
        <v>0.44429999999999997</v>
      </c>
    </row>
    <row r="54" spans="1:6" x14ac:dyDescent="0.25">
      <c r="A54">
        <v>53</v>
      </c>
      <c r="B54" t="s">
        <v>41</v>
      </c>
      <c r="C54" t="s">
        <v>42</v>
      </c>
      <c r="D54" t="s">
        <v>467</v>
      </c>
      <c r="E54" s="64">
        <v>264632416</v>
      </c>
      <c r="F54" s="63">
        <v>0.42709999999999998</v>
      </c>
    </row>
    <row r="55" spans="1:6" x14ac:dyDescent="0.25">
      <c r="A55">
        <v>54</v>
      </c>
      <c r="B55" t="s">
        <v>95</v>
      </c>
      <c r="C55" t="s">
        <v>96</v>
      </c>
      <c r="D55" t="s">
        <v>461</v>
      </c>
      <c r="E55" s="64">
        <v>305082672</v>
      </c>
      <c r="F55" s="63">
        <v>0.41870000000000002</v>
      </c>
    </row>
    <row r="56" spans="1:6" x14ac:dyDescent="0.25">
      <c r="A56">
        <v>55</v>
      </c>
      <c r="B56" t="s">
        <v>140</v>
      </c>
      <c r="C56" t="s">
        <v>141</v>
      </c>
      <c r="D56" t="s">
        <v>469</v>
      </c>
      <c r="E56" s="64">
        <v>270279854</v>
      </c>
      <c r="F56" s="63">
        <v>0.4017</v>
      </c>
    </row>
    <row r="57" spans="1:6" x14ac:dyDescent="0.25">
      <c r="A57">
        <v>56</v>
      </c>
      <c r="B57" t="s">
        <v>71</v>
      </c>
      <c r="C57" t="s">
        <v>72</v>
      </c>
      <c r="D57" t="s">
        <v>461</v>
      </c>
      <c r="E57" s="64">
        <v>263583096</v>
      </c>
      <c r="F57" s="63">
        <v>0.37969999999999998</v>
      </c>
    </row>
    <row r="58" spans="1:6" x14ac:dyDescent="0.25">
      <c r="A58">
        <v>57</v>
      </c>
      <c r="B58" t="s">
        <v>154</v>
      </c>
      <c r="C58" t="s">
        <v>155</v>
      </c>
      <c r="D58" t="s">
        <v>461</v>
      </c>
      <c r="E58" s="64">
        <v>223809099</v>
      </c>
      <c r="F58" s="63">
        <v>0.3659</v>
      </c>
    </row>
    <row r="59" spans="1:6" x14ac:dyDescent="0.25">
      <c r="A59">
        <v>58</v>
      </c>
      <c r="B59" t="s">
        <v>35</v>
      </c>
      <c r="C59" t="s">
        <v>36</v>
      </c>
      <c r="D59" t="s">
        <v>462</v>
      </c>
      <c r="E59" s="64">
        <v>222108601</v>
      </c>
      <c r="F59" s="63">
        <v>0.36109999999999998</v>
      </c>
    </row>
    <row r="60" spans="1:6" x14ac:dyDescent="0.25">
      <c r="A60">
        <v>59</v>
      </c>
      <c r="B60" t="s">
        <v>173</v>
      </c>
      <c r="C60" t="s">
        <v>174</v>
      </c>
      <c r="D60" t="s">
        <v>465</v>
      </c>
      <c r="E60" s="64">
        <v>218568274</v>
      </c>
      <c r="F60" s="63">
        <v>0.35120000000000001</v>
      </c>
    </row>
    <row r="61" spans="1:6" x14ac:dyDescent="0.25">
      <c r="A61">
        <v>60</v>
      </c>
      <c r="B61" t="s">
        <v>85</v>
      </c>
      <c r="C61" t="s">
        <v>86</v>
      </c>
      <c r="D61" t="s">
        <v>461</v>
      </c>
      <c r="E61" s="64">
        <v>295402225</v>
      </c>
      <c r="F61" s="63">
        <v>0.33960000000000001</v>
      </c>
    </row>
    <row r="62" spans="1:6" x14ac:dyDescent="0.25">
      <c r="A62">
        <v>61</v>
      </c>
      <c r="B62" t="s">
        <v>138</v>
      </c>
      <c r="C62" t="s">
        <v>139</v>
      </c>
      <c r="D62" t="s">
        <v>461</v>
      </c>
      <c r="E62" s="64">
        <v>292910667</v>
      </c>
      <c r="F62" s="63">
        <v>0.33</v>
      </c>
    </row>
    <row r="63" spans="1:6" x14ac:dyDescent="0.25">
      <c r="A63">
        <v>62</v>
      </c>
      <c r="B63" t="s">
        <v>103</v>
      </c>
      <c r="C63" t="s">
        <v>104</v>
      </c>
      <c r="D63" t="s">
        <v>644</v>
      </c>
      <c r="E63" s="64">
        <v>134613917</v>
      </c>
      <c r="F63" s="63">
        <v>0.25559999999999999</v>
      </c>
    </row>
    <row r="64" spans="1:6" x14ac:dyDescent="0.25">
      <c r="A64">
        <v>63</v>
      </c>
      <c r="B64" t="s">
        <v>182</v>
      </c>
      <c r="C64" t="s">
        <v>183</v>
      </c>
      <c r="D64" t="s">
        <v>467</v>
      </c>
      <c r="E64" s="64">
        <v>513631763</v>
      </c>
      <c r="F64" s="63">
        <v>0.23200000000000001</v>
      </c>
    </row>
    <row r="65" spans="1:6" x14ac:dyDescent="0.25">
      <c r="A65">
        <v>64</v>
      </c>
      <c r="B65" t="s">
        <v>111</v>
      </c>
      <c r="C65" t="s">
        <v>112</v>
      </c>
      <c r="D65" t="s">
        <v>461</v>
      </c>
      <c r="E65" s="64">
        <v>86913923</v>
      </c>
      <c r="F65" s="63">
        <v>0.2286</v>
      </c>
    </row>
    <row r="66" spans="1:6" x14ac:dyDescent="0.25">
      <c r="A66">
        <v>65</v>
      </c>
      <c r="B66" t="s">
        <v>101</v>
      </c>
      <c r="C66" t="s">
        <v>102</v>
      </c>
      <c r="D66" t="s">
        <v>462</v>
      </c>
      <c r="E66" s="64">
        <v>597099426</v>
      </c>
      <c r="F66" s="63">
        <v>0.21340000000000001</v>
      </c>
    </row>
    <row r="67" spans="1:6" x14ac:dyDescent="0.25">
      <c r="A67">
        <v>66</v>
      </c>
      <c r="B67" t="s">
        <v>136</v>
      </c>
      <c r="C67" t="s">
        <v>137</v>
      </c>
      <c r="D67" t="s">
        <v>461</v>
      </c>
      <c r="E67" s="64">
        <v>386047807</v>
      </c>
      <c r="F67" s="63">
        <v>0.18429999999999999</v>
      </c>
    </row>
    <row r="68" spans="1:6" x14ac:dyDescent="0.25">
      <c r="A68">
        <v>67</v>
      </c>
      <c r="B68" t="s">
        <v>648</v>
      </c>
      <c r="C68" t="s">
        <v>649</v>
      </c>
      <c r="D68" t="s">
        <v>461</v>
      </c>
      <c r="E68" s="64">
        <v>58842428</v>
      </c>
      <c r="F68" s="63">
        <v>0.1245</v>
      </c>
    </row>
    <row r="69" spans="1:6" x14ac:dyDescent="0.25">
      <c r="A69">
        <v>68</v>
      </c>
      <c r="B69" t="s">
        <v>75</v>
      </c>
      <c r="C69" t="s">
        <v>76</v>
      </c>
      <c r="D69" t="s">
        <v>461</v>
      </c>
      <c r="E69" s="64">
        <v>171079276</v>
      </c>
      <c r="F69" s="63">
        <v>0.12130000000000001</v>
      </c>
    </row>
  </sheetData>
  <sortState xmlns:xlrd2="http://schemas.microsoft.com/office/spreadsheetml/2017/richdata2" ref="B2:F69">
    <sortCondition descending="1" ref="F1:F69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E5FC7-1E57-4572-9526-669F0C5DACEB}">
  <dimension ref="A1:G78"/>
  <sheetViews>
    <sheetView workbookViewId="0">
      <selection activeCell="J75" sqref="J75"/>
    </sheetView>
  </sheetViews>
  <sheetFormatPr defaultRowHeight="15" x14ac:dyDescent="0.25"/>
  <cols>
    <col min="2" max="2" width="11.28515625" customWidth="1"/>
    <col min="3" max="3" width="18.85546875" customWidth="1"/>
    <col min="4" max="4" width="18" customWidth="1"/>
    <col min="5" max="5" width="16.140625" customWidth="1"/>
    <col min="6" max="6" width="12.140625" style="63" customWidth="1"/>
  </cols>
  <sheetData>
    <row r="1" spans="1:7" x14ac:dyDescent="0.25">
      <c r="A1" t="s">
        <v>662</v>
      </c>
      <c r="B1" s="39" t="s">
        <v>622</v>
      </c>
      <c r="C1" s="39" t="s">
        <v>623</v>
      </c>
      <c r="D1" s="39" t="s">
        <v>626</v>
      </c>
      <c r="E1" s="39" t="s">
        <v>624</v>
      </c>
      <c r="F1" s="45" t="s">
        <v>625</v>
      </c>
    </row>
    <row r="2" spans="1:7" x14ac:dyDescent="0.25">
      <c r="A2">
        <v>1</v>
      </c>
      <c r="B2" t="s">
        <v>185</v>
      </c>
      <c r="C2" t="s">
        <v>186</v>
      </c>
      <c r="D2" t="s">
        <v>461</v>
      </c>
      <c r="E2">
        <v>3218796397</v>
      </c>
      <c r="F2" s="63">
        <v>10.460900000000001</v>
      </c>
    </row>
    <row r="3" spans="1:7" x14ac:dyDescent="0.25">
      <c r="A3">
        <v>2</v>
      </c>
      <c r="B3" t="s">
        <v>118</v>
      </c>
      <c r="C3" t="s">
        <v>119</v>
      </c>
      <c r="D3" t="s">
        <v>628</v>
      </c>
      <c r="E3">
        <v>4757466114</v>
      </c>
      <c r="F3" s="63">
        <v>6.3799000000000001</v>
      </c>
    </row>
    <row r="4" spans="1:7" x14ac:dyDescent="0.25">
      <c r="A4">
        <v>3</v>
      </c>
      <c r="B4" t="s">
        <v>149</v>
      </c>
      <c r="C4" t="s">
        <v>148</v>
      </c>
      <c r="D4" t="s">
        <v>463</v>
      </c>
      <c r="E4">
        <v>4566457037</v>
      </c>
      <c r="F4" s="63">
        <v>5.6231999999999998</v>
      </c>
    </row>
    <row r="5" spans="1:7" x14ac:dyDescent="0.25">
      <c r="A5">
        <v>4</v>
      </c>
      <c r="B5" t="s">
        <v>14</v>
      </c>
      <c r="C5" t="s">
        <v>15</v>
      </c>
      <c r="D5" t="s">
        <v>461</v>
      </c>
      <c r="E5">
        <v>1700747480</v>
      </c>
      <c r="F5" s="63">
        <v>5.3299000000000003</v>
      </c>
    </row>
    <row r="6" spans="1:7" x14ac:dyDescent="0.25">
      <c r="A6">
        <v>5</v>
      </c>
      <c r="B6" t="s">
        <v>21</v>
      </c>
      <c r="C6" t="s">
        <v>19</v>
      </c>
      <c r="D6" t="s">
        <v>466</v>
      </c>
      <c r="E6">
        <v>4261649634</v>
      </c>
      <c r="F6" s="63">
        <v>5.0303000000000004</v>
      </c>
    </row>
    <row r="7" spans="1:7" x14ac:dyDescent="0.25">
      <c r="A7">
        <v>6</v>
      </c>
      <c r="B7" t="s">
        <v>147</v>
      </c>
      <c r="C7" t="s">
        <v>148</v>
      </c>
      <c r="D7" t="s">
        <v>469</v>
      </c>
      <c r="E7">
        <v>3509328784</v>
      </c>
      <c r="F7" s="63">
        <v>4.3986999999999998</v>
      </c>
    </row>
    <row r="8" spans="1:7" x14ac:dyDescent="0.25">
      <c r="A8">
        <v>7</v>
      </c>
      <c r="B8" t="s">
        <v>134</v>
      </c>
      <c r="C8" t="s">
        <v>135</v>
      </c>
      <c r="D8" t="s">
        <v>461</v>
      </c>
      <c r="E8">
        <v>668758001</v>
      </c>
      <c r="F8" s="63">
        <v>3.1894999999999998</v>
      </c>
    </row>
    <row r="9" spans="1:7" x14ac:dyDescent="0.25">
      <c r="A9">
        <v>8</v>
      </c>
      <c r="B9" t="s">
        <v>0</v>
      </c>
      <c r="C9" t="s">
        <v>1</v>
      </c>
      <c r="D9" t="s">
        <v>2</v>
      </c>
      <c r="E9">
        <v>4355174839</v>
      </c>
      <c r="F9" s="63">
        <v>2.9481999999999999</v>
      </c>
    </row>
    <row r="10" spans="1:7" x14ac:dyDescent="0.25">
      <c r="A10">
        <v>9</v>
      </c>
      <c r="B10" t="s">
        <v>115</v>
      </c>
      <c r="C10" t="s">
        <v>116</v>
      </c>
      <c r="D10" t="s">
        <v>628</v>
      </c>
      <c r="E10">
        <v>4515538171</v>
      </c>
      <c r="F10" s="63">
        <v>2.3702000000000001</v>
      </c>
    </row>
    <row r="11" spans="1:7" x14ac:dyDescent="0.25">
      <c r="A11">
        <v>10</v>
      </c>
      <c r="B11" t="s">
        <v>16</v>
      </c>
      <c r="C11" t="s">
        <v>17</v>
      </c>
      <c r="D11" t="s">
        <v>461</v>
      </c>
      <c r="E11">
        <v>1283197221</v>
      </c>
      <c r="F11" s="63">
        <v>2.3405999999999998</v>
      </c>
    </row>
    <row r="12" spans="1:7" x14ac:dyDescent="0.25">
      <c r="A12">
        <v>11</v>
      </c>
      <c r="B12" t="s">
        <v>191</v>
      </c>
      <c r="C12" t="s">
        <v>192</v>
      </c>
      <c r="D12" t="s">
        <v>461</v>
      </c>
      <c r="E12">
        <v>674731315</v>
      </c>
      <c r="F12" s="63">
        <v>2.3378000000000001</v>
      </c>
    </row>
    <row r="13" spans="1:7" x14ac:dyDescent="0.25">
      <c r="A13">
        <v>12</v>
      </c>
      <c r="B13" t="s">
        <v>99</v>
      </c>
      <c r="C13" t="s">
        <v>100</v>
      </c>
      <c r="D13" t="s">
        <v>461</v>
      </c>
      <c r="E13">
        <v>581199237</v>
      </c>
      <c r="F13" s="63">
        <v>2.3288000000000002</v>
      </c>
    </row>
    <row r="14" spans="1:7" x14ac:dyDescent="0.25">
      <c r="A14">
        <v>13</v>
      </c>
      <c r="B14" t="s">
        <v>130</v>
      </c>
      <c r="C14" t="s">
        <v>131</v>
      </c>
      <c r="D14" t="s">
        <v>461</v>
      </c>
      <c r="E14">
        <v>785417914</v>
      </c>
      <c r="F14" s="63">
        <v>1.9537</v>
      </c>
    </row>
    <row r="15" spans="1:7" x14ac:dyDescent="0.25">
      <c r="A15">
        <v>14</v>
      </c>
      <c r="B15" t="s">
        <v>143</v>
      </c>
      <c r="C15" t="s">
        <v>144</v>
      </c>
      <c r="D15" t="s">
        <v>461</v>
      </c>
      <c r="E15">
        <v>719775531</v>
      </c>
      <c r="F15" s="63">
        <v>1.9123000000000001</v>
      </c>
      <c r="G15" s="63">
        <f>SUM(F2:F15)</f>
        <v>56.604000000000006</v>
      </c>
    </row>
    <row r="16" spans="1:7" x14ac:dyDescent="0.25">
      <c r="A16">
        <v>15</v>
      </c>
      <c r="B16" t="s">
        <v>171</v>
      </c>
      <c r="C16" t="s">
        <v>172</v>
      </c>
      <c r="D16" t="s">
        <v>461</v>
      </c>
      <c r="E16">
        <v>724921241</v>
      </c>
      <c r="F16" s="63">
        <v>1.8514999999999999</v>
      </c>
    </row>
    <row r="17" spans="1:7" x14ac:dyDescent="0.25">
      <c r="A17">
        <v>16</v>
      </c>
      <c r="B17" t="s">
        <v>120</v>
      </c>
      <c r="C17" t="s">
        <v>121</v>
      </c>
      <c r="D17" t="s">
        <v>461</v>
      </c>
      <c r="E17">
        <v>1568829515</v>
      </c>
      <c r="F17" s="63">
        <v>1.8432999999999999</v>
      </c>
    </row>
    <row r="18" spans="1:7" x14ac:dyDescent="0.25">
      <c r="A18">
        <v>17</v>
      </c>
      <c r="B18" t="s">
        <v>162</v>
      </c>
      <c r="C18" t="s">
        <v>163</v>
      </c>
      <c r="D18" t="s">
        <v>461</v>
      </c>
      <c r="E18">
        <v>594568300</v>
      </c>
      <c r="F18" s="63">
        <v>1.6211</v>
      </c>
    </row>
    <row r="19" spans="1:7" x14ac:dyDescent="0.25">
      <c r="A19">
        <v>18</v>
      </c>
      <c r="B19" t="s">
        <v>641</v>
      </c>
      <c r="C19" t="s">
        <v>642</v>
      </c>
      <c r="D19" t="s">
        <v>461</v>
      </c>
      <c r="E19">
        <v>1594758941</v>
      </c>
      <c r="F19" s="63">
        <v>1.6193</v>
      </c>
    </row>
    <row r="20" spans="1:7" x14ac:dyDescent="0.25">
      <c r="A20">
        <v>19</v>
      </c>
      <c r="B20" t="s">
        <v>158</v>
      </c>
      <c r="C20" t="s">
        <v>159</v>
      </c>
      <c r="D20" t="s">
        <v>461</v>
      </c>
      <c r="E20">
        <v>1348000144</v>
      </c>
      <c r="F20" s="63">
        <v>1.6178999999999999</v>
      </c>
    </row>
    <row r="21" spans="1:7" x14ac:dyDescent="0.25">
      <c r="A21">
        <v>20</v>
      </c>
      <c r="B21" t="s">
        <v>37</v>
      </c>
      <c r="C21" t="s">
        <v>38</v>
      </c>
      <c r="D21" t="s">
        <v>461</v>
      </c>
      <c r="E21">
        <v>1164958126</v>
      </c>
      <c r="F21" s="63">
        <v>1.4007000000000001</v>
      </c>
      <c r="G21" s="63">
        <f>SUM(F2:F21)</f>
        <v>66.557800000000015</v>
      </c>
    </row>
    <row r="22" spans="1:7" x14ac:dyDescent="0.25">
      <c r="A22">
        <v>21</v>
      </c>
      <c r="B22" t="s">
        <v>126</v>
      </c>
      <c r="C22" t="s">
        <v>127</v>
      </c>
      <c r="D22" t="s">
        <v>462</v>
      </c>
      <c r="E22">
        <v>835033880</v>
      </c>
      <c r="F22" s="63">
        <v>1.3835999999999999</v>
      </c>
    </row>
    <row r="23" spans="1:7" x14ac:dyDescent="0.25">
      <c r="A23">
        <v>22</v>
      </c>
      <c r="B23" t="s">
        <v>18</v>
      </c>
      <c r="C23" t="s">
        <v>19</v>
      </c>
      <c r="D23" t="s">
        <v>618</v>
      </c>
      <c r="E23">
        <v>1253093907</v>
      </c>
      <c r="F23" s="63">
        <v>1.3680000000000001</v>
      </c>
    </row>
    <row r="24" spans="1:7" x14ac:dyDescent="0.25">
      <c r="A24">
        <v>23</v>
      </c>
      <c r="B24" t="s">
        <v>156</v>
      </c>
      <c r="C24" t="s">
        <v>157</v>
      </c>
      <c r="D24" t="s">
        <v>461</v>
      </c>
      <c r="E24">
        <v>214294132</v>
      </c>
      <c r="F24" s="63">
        <v>1.2934000000000001</v>
      </c>
    </row>
    <row r="25" spans="1:7" x14ac:dyDescent="0.25">
      <c r="A25">
        <v>24</v>
      </c>
      <c r="B25" t="s">
        <v>91</v>
      </c>
      <c r="C25" t="s">
        <v>92</v>
      </c>
      <c r="D25" t="s">
        <v>461</v>
      </c>
      <c r="E25">
        <v>1010286085</v>
      </c>
      <c r="F25" s="63">
        <v>1.2907</v>
      </c>
    </row>
    <row r="26" spans="1:7" x14ac:dyDescent="0.25">
      <c r="A26">
        <v>25</v>
      </c>
      <c r="B26" t="s">
        <v>180</v>
      </c>
      <c r="C26" t="s">
        <v>181</v>
      </c>
      <c r="D26" t="s">
        <v>461</v>
      </c>
      <c r="E26">
        <v>1088225414</v>
      </c>
      <c r="F26" s="63">
        <v>1.2564</v>
      </c>
    </row>
    <row r="27" spans="1:7" x14ac:dyDescent="0.25">
      <c r="A27">
        <v>26</v>
      </c>
      <c r="B27" t="s">
        <v>635</v>
      </c>
      <c r="C27" t="s">
        <v>636</v>
      </c>
      <c r="D27" t="s">
        <v>461</v>
      </c>
      <c r="E27">
        <v>208209427</v>
      </c>
      <c r="F27" s="63">
        <v>1.1443000000000001</v>
      </c>
    </row>
    <row r="28" spans="1:7" x14ac:dyDescent="0.25">
      <c r="A28">
        <v>27</v>
      </c>
      <c r="B28" t="s">
        <v>637</v>
      </c>
      <c r="C28" t="s">
        <v>190</v>
      </c>
      <c r="D28" t="s">
        <v>638</v>
      </c>
      <c r="E28">
        <v>415131868</v>
      </c>
      <c r="F28" s="63">
        <v>1.0884</v>
      </c>
    </row>
    <row r="29" spans="1:7" x14ac:dyDescent="0.25">
      <c r="A29">
        <v>28</v>
      </c>
      <c r="B29" t="s">
        <v>97</v>
      </c>
      <c r="C29" t="s">
        <v>98</v>
      </c>
      <c r="D29" t="s">
        <v>462</v>
      </c>
      <c r="E29">
        <v>995903643</v>
      </c>
      <c r="F29" s="63">
        <v>1.0658000000000001</v>
      </c>
    </row>
    <row r="30" spans="1:7" x14ac:dyDescent="0.25">
      <c r="A30">
        <v>29</v>
      </c>
      <c r="B30" t="s">
        <v>31</v>
      </c>
      <c r="C30" t="s">
        <v>32</v>
      </c>
      <c r="D30" t="s">
        <v>465</v>
      </c>
      <c r="E30">
        <v>236093794</v>
      </c>
      <c r="F30" s="63">
        <v>1.0084</v>
      </c>
    </row>
    <row r="31" spans="1:7" x14ac:dyDescent="0.25">
      <c r="A31">
        <v>30</v>
      </c>
      <c r="B31" t="s">
        <v>23</v>
      </c>
      <c r="C31" t="s">
        <v>24</v>
      </c>
      <c r="D31" t="s">
        <v>461</v>
      </c>
      <c r="E31">
        <v>671584841</v>
      </c>
      <c r="F31" s="63">
        <v>0.97419999999999995</v>
      </c>
    </row>
    <row r="32" spans="1:7" x14ac:dyDescent="0.25">
      <c r="A32">
        <v>31</v>
      </c>
      <c r="B32" t="s">
        <v>167</v>
      </c>
      <c r="C32" t="s">
        <v>168</v>
      </c>
      <c r="D32" t="s">
        <v>461</v>
      </c>
      <c r="E32">
        <v>339999111</v>
      </c>
      <c r="F32" s="63">
        <v>0.89800000000000002</v>
      </c>
    </row>
    <row r="33" spans="1:6" x14ac:dyDescent="0.25">
      <c r="A33">
        <v>32</v>
      </c>
      <c r="B33" t="s">
        <v>39</v>
      </c>
      <c r="C33" t="s">
        <v>40</v>
      </c>
      <c r="D33" t="s">
        <v>461</v>
      </c>
      <c r="E33">
        <v>811759800</v>
      </c>
      <c r="F33" s="63">
        <v>0.87129999999999996</v>
      </c>
    </row>
    <row r="34" spans="1:6" x14ac:dyDescent="0.25">
      <c r="A34">
        <v>33</v>
      </c>
      <c r="B34" t="s">
        <v>48</v>
      </c>
      <c r="C34" t="s">
        <v>49</v>
      </c>
      <c r="D34" t="s">
        <v>461</v>
      </c>
      <c r="E34">
        <v>1115695556</v>
      </c>
      <c r="F34" s="63">
        <v>0.86309999999999998</v>
      </c>
    </row>
    <row r="35" spans="1:6" x14ac:dyDescent="0.25">
      <c r="A35">
        <v>34</v>
      </c>
      <c r="B35" t="s">
        <v>124</v>
      </c>
      <c r="C35" t="s">
        <v>125</v>
      </c>
      <c r="D35" t="s">
        <v>465</v>
      </c>
      <c r="E35">
        <v>637999310</v>
      </c>
      <c r="F35" s="63">
        <v>0.85519999999999996</v>
      </c>
    </row>
    <row r="36" spans="1:6" x14ac:dyDescent="0.25">
      <c r="A36">
        <v>35</v>
      </c>
      <c r="B36" t="s">
        <v>105</v>
      </c>
      <c r="C36" t="s">
        <v>106</v>
      </c>
      <c r="D36" t="s">
        <v>461</v>
      </c>
      <c r="E36">
        <v>217045654</v>
      </c>
      <c r="F36" s="63">
        <v>0.77439999999999998</v>
      </c>
    </row>
    <row r="37" spans="1:6" x14ac:dyDescent="0.25">
      <c r="A37">
        <v>36</v>
      </c>
      <c r="B37" t="s">
        <v>178</v>
      </c>
      <c r="C37" t="s">
        <v>179</v>
      </c>
      <c r="D37" t="s">
        <v>461</v>
      </c>
      <c r="E37">
        <v>480228410</v>
      </c>
      <c r="F37" s="63">
        <v>0.71230000000000004</v>
      </c>
    </row>
    <row r="38" spans="1:6" x14ac:dyDescent="0.25">
      <c r="A38">
        <v>37</v>
      </c>
      <c r="B38" t="s">
        <v>109</v>
      </c>
      <c r="C38" t="s">
        <v>110</v>
      </c>
      <c r="D38" t="s">
        <v>461</v>
      </c>
      <c r="E38">
        <v>410147968</v>
      </c>
      <c r="F38" s="63">
        <v>0.71109999999999995</v>
      </c>
    </row>
    <row r="39" spans="1:6" x14ac:dyDescent="0.25">
      <c r="A39">
        <v>38</v>
      </c>
      <c r="B39" t="s">
        <v>79</v>
      </c>
      <c r="C39" t="s">
        <v>80</v>
      </c>
      <c r="D39" t="s">
        <v>470</v>
      </c>
      <c r="E39">
        <v>358018408</v>
      </c>
      <c r="F39" s="63">
        <v>0.70109999999999995</v>
      </c>
    </row>
    <row r="40" spans="1:6" x14ac:dyDescent="0.25">
      <c r="A40">
        <v>39</v>
      </c>
      <c r="B40" t="s">
        <v>169</v>
      </c>
      <c r="C40" t="s">
        <v>170</v>
      </c>
      <c r="D40" t="s">
        <v>465</v>
      </c>
      <c r="E40">
        <v>279572852</v>
      </c>
      <c r="F40" s="63">
        <v>0.66210000000000002</v>
      </c>
    </row>
    <row r="41" spans="1:6" x14ac:dyDescent="0.25">
      <c r="A41">
        <v>40</v>
      </c>
      <c r="B41" t="s">
        <v>639</v>
      </c>
      <c r="C41" t="s">
        <v>640</v>
      </c>
      <c r="D41" t="s">
        <v>461</v>
      </c>
      <c r="E41">
        <v>808343726</v>
      </c>
      <c r="F41" s="63">
        <v>0.6401</v>
      </c>
    </row>
    <row r="42" spans="1:6" x14ac:dyDescent="0.25">
      <c r="A42">
        <v>41</v>
      </c>
      <c r="B42" t="s">
        <v>54</v>
      </c>
      <c r="C42" t="s">
        <v>55</v>
      </c>
      <c r="D42" t="s">
        <v>461</v>
      </c>
      <c r="E42">
        <v>1847994874</v>
      </c>
      <c r="F42" s="63">
        <v>0.59670000000000001</v>
      </c>
    </row>
    <row r="43" spans="1:6" x14ac:dyDescent="0.25">
      <c r="A43">
        <v>42</v>
      </c>
      <c r="B43" t="s">
        <v>89</v>
      </c>
      <c r="C43" t="s">
        <v>90</v>
      </c>
      <c r="D43" t="s">
        <v>465</v>
      </c>
      <c r="E43">
        <v>250679709</v>
      </c>
      <c r="F43" s="63">
        <v>0.59399999999999997</v>
      </c>
    </row>
    <row r="44" spans="1:6" x14ac:dyDescent="0.25">
      <c r="A44">
        <v>43</v>
      </c>
      <c r="B44" t="s">
        <v>77</v>
      </c>
      <c r="C44" t="s">
        <v>78</v>
      </c>
      <c r="D44" t="s">
        <v>461</v>
      </c>
      <c r="E44">
        <v>254792279</v>
      </c>
      <c r="F44" s="63">
        <v>0.59240000000000004</v>
      </c>
    </row>
    <row r="45" spans="1:6" x14ac:dyDescent="0.25">
      <c r="A45">
        <v>44</v>
      </c>
      <c r="B45" t="s">
        <v>164</v>
      </c>
      <c r="C45" t="s">
        <v>165</v>
      </c>
      <c r="D45" t="s">
        <v>166</v>
      </c>
      <c r="E45">
        <v>355666691</v>
      </c>
      <c r="F45" s="63">
        <v>0.58109999999999995</v>
      </c>
    </row>
    <row r="46" spans="1:6" x14ac:dyDescent="0.25">
      <c r="A46">
        <v>45</v>
      </c>
      <c r="B46" t="s">
        <v>52</v>
      </c>
      <c r="C46" t="s">
        <v>53</v>
      </c>
      <c r="D46" t="s">
        <v>462</v>
      </c>
      <c r="E46">
        <v>969723092</v>
      </c>
      <c r="F46" s="63">
        <v>0.56210000000000004</v>
      </c>
    </row>
    <row r="47" spans="1:6" x14ac:dyDescent="0.25">
      <c r="A47">
        <v>46</v>
      </c>
      <c r="B47" t="s">
        <v>65</v>
      </c>
      <c r="C47" t="s">
        <v>66</v>
      </c>
      <c r="D47" t="s">
        <v>461</v>
      </c>
      <c r="E47">
        <v>129314042</v>
      </c>
      <c r="F47" s="63">
        <v>0.53400000000000003</v>
      </c>
    </row>
    <row r="48" spans="1:6" x14ac:dyDescent="0.25">
      <c r="A48">
        <v>47</v>
      </c>
      <c r="B48" t="s">
        <v>145</v>
      </c>
      <c r="C48" t="s">
        <v>146</v>
      </c>
      <c r="D48" t="s">
        <v>461</v>
      </c>
      <c r="E48">
        <v>156831174</v>
      </c>
      <c r="F48" s="63">
        <v>0.53310000000000002</v>
      </c>
    </row>
    <row r="49" spans="1:6" x14ac:dyDescent="0.25">
      <c r="A49">
        <v>48</v>
      </c>
      <c r="B49" t="s">
        <v>35</v>
      </c>
      <c r="C49" t="s">
        <v>36</v>
      </c>
      <c r="D49" t="s">
        <v>462</v>
      </c>
      <c r="E49">
        <v>222075664</v>
      </c>
      <c r="F49" s="63">
        <v>0.52849999999999997</v>
      </c>
    </row>
    <row r="50" spans="1:6" x14ac:dyDescent="0.25">
      <c r="A50">
        <v>49</v>
      </c>
      <c r="B50" t="s">
        <v>154</v>
      </c>
      <c r="C50" t="s">
        <v>155</v>
      </c>
      <c r="D50" t="s">
        <v>461</v>
      </c>
      <c r="E50">
        <v>283408928</v>
      </c>
      <c r="F50" s="63">
        <v>0.51690000000000003</v>
      </c>
    </row>
    <row r="51" spans="1:6" x14ac:dyDescent="0.25">
      <c r="A51">
        <v>50</v>
      </c>
      <c r="B51" t="s">
        <v>67</v>
      </c>
      <c r="C51" t="s">
        <v>68</v>
      </c>
      <c r="D51" t="s">
        <v>2</v>
      </c>
      <c r="E51">
        <v>642398790</v>
      </c>
      <c r="F51" s="63">
        <v>0.51659999999999995</v>
      </c>
    </row>
    <row r="52" spans="1:6" x14ac:dyDescent="0.25">
      <c r="A52">
        <v>51</v>
      </c>
      <c r="B52" t="s">
        <v>82</v>
      </c>
      <c r="C52" t="s">
        <v>80</v>
      </c>
      <c r="D52" t="s">
        <v>471</v>
      </c>
      <c r="E52">
        <v>240019548</v>
      </c>
      <c r="F52" s="63">
        <v>0.47889999999999999</v>
      </c>
    </row>
    <row r="53" spans="1:6" x14ac:dyDescent="0.25">
      <c r="A53">
        <v>52</v>
      </c>
      <c r="B53" t="s">
        <v>113</v>
      </c>
      <c r="C53" t="s">
        <v>114</v>
      </c>
      <c r="D53" t="s">
        <v>461</v>
      </c>
      <c r="E53">
        <v>1255352371</v>
      </c>
      <c r="F53" s="63">
        <v>0.46870000000000001</v>
      </c>
    </row>
    <row r="54" spans="1:6" x14ac:dyDescent="0.25">
      <c r="A54">
        <v>53</v>
      </c>
      <c r="B54" t="s">
        <v>95</v>
      </c>
      <c r="C54" t="s">
        <v>96</v>
      </c>
      <c r="D54" t="s">
        <v>461</v>
      </c>
      <c r="E54">
        <v>303800430</v>
      </c>
      <c r="F54" s="63">
        <v>0.46500000000000002</v>
      </c>
    </row>
    <row r="55" spans="1:6" x14ac:dyDescent="0.25">
      <c r="A55">
        <v>54</v>
      </c>
      <c r="B55" t="s">
        <v>193</v>
      </c>
      <c r="C55" t="s">
        <v>194</v>
      </c>
      <c r="D55" t="s">
        <v>461</v>
      </c>
      <c r="E55">
        <v>300483575</v>
      </c>
      <c r="F55" s="63">
        <v>0.44840000000000002</v>
      </c>
    </row>
    <row r="56" spans="1:6" x14ac:dyDescent="0.25">
      <c r="A56">
        <v>55</v>
      </c>
      <c r="B56" t="s">
        <v>63</v>
      </c>
      <c r="C56" t="s">
        <v>64</v>
      </c>
      <c r="D56" t="s">
        <v>461</v>
      </c>
      <c r="E56">
        <v>391758726</v>
      </c>
      <c r="F56" s="63">
        <v>0.434</v>
      </c>
    </row>
    <row r="57" spans="1:6" x14ac:dyDescent="0.25">
      <c r="A57">
        <v>56</v>
      </c>
      <c r="B57" t="s">
        <v>11</v>
      </c>
      <c r="C57" t="s">
        <v>12</v>
      </c>
      <c r="D57" t="s">
        <v>463</v>
      </c>
      <c r="E57">
        <v>326903173</v>
      </c>
      <c r="F57" s="63">
        <v>0.43180000000000002</v>
      </c>
    </row>
    <row r="58" spans="1:6" x14ac:dyDescent="0.25">
      <c r="A58">
        <v>57</v>
      </c>
      <c r="B58" t="s">
        <v>44</v>
      </c>
      <c r="C58" t="s">
        <v>45</v>
      </c>
      <c r="D58" t="s">
        <v>461</v>
      </c>
      <c r="E58">
        <v>843728684</v>
      </c>
      <c r="F58" s="63">
        <v>0.42830000000000001</v>
      </c>
    </row>
    <row r="59" spans="1:6" x14ac:dyDescent="0.25">
      <c r="A59">
        <v>58</v>
      </c>
      <c r="B59" t="s">
        <v>71</v>
      </c>
      <c r="C59" t="s">
        <v>72</v>
      </c>
      <c r="D59" t="s">
        <v>461</v>
      </c>
      <c r="E59">
        <v>281154098</v>
      </c>
      <c r="F59" s="63">
        <v>0.36020000000000002</v>
      </c>
    </row>
    <row r="60" spans="1:6" x14ac:dyDescent="0.25">
      <c r="A60">
        <v>59</v>
      </c>
      <c r="B60" t="s">
        <v>101</v>
      </c>
      <c r="C60" t="s">
        <v>102</v>
      </c>
      <c r="D60" t="s">
        <v>462</v>
      </c>
      <c r="E60">
        <v>693699918</v>
      </c>
      <c r="F60" s="63">
        <v>0.33800000000000002</v>
      </c>
    </row>
    <row r="61" spans="1:6" x14ac:dyDescent="0.25">
      <c r="A61">
        <v>60</v>
      </c>
      <c r="B61" t="s">
        <v>173</v>
      </c>
      <c r="C61" t="s">
        <v>174</v>
      </c>
      <c r="D61" t="s">
        <v>465</v>
      </c>
      <c r="E61">
        <v>218568274</v>
      </c>
      <c r="F61" s="63">
        <v>0.3337</v>
      </c>
    </row>
    <row r="62" spans="1:6" x14ac:dyDescent="0.25">
      <c r="A62">
        <v>61</v>
      </c>
      <c r="B62" t="s">
        <v>136</v>
      </c>
      <c r="C62" t="s">
        <v>137</v>
      </c>
      <c r="D62" t="s">
        <v>461</v>
      </c>
      <c r="E62">
        <v>368864634</v>
      </c>
      <c r="F62" s="63">
        <v>0.33129999999999998</v>
      </c>
    </row>
    <row r="63" spans="1:6" x14ac:dyDescent="0.25">
      <c r="A63">
        <v>62</v>
      </c>
      <c r="B63" t="s">
        <v>140</v>
      </c>
      <c r="C63" t="s">
        <v>141</v>
      </c>
      <c r="D63" t="s">
        <v>469</v>
      </c>
      <c r="E63">
        <v>276848567</v>
      </c>
      <c r="F63" s="63">
        <v>0.33090000000000003</v>
      </c>
    </row>
    <row r="64" spans="1:6" x14ac:dyDescent="0.25">
      <c r="A64">
        <v>63</v>
      </c>
      <c r="B64" t="s">
        <v>152</v>
      </c>
      <c r="C64" t="s">
        <v>153</v>
      </c>
      <c r="D64" t="s">
        <v>461</v>
      </c>
      <c r="E64">
        <v>135160900</v>
      </c>
      <c r="F64" s="63">
        <v>0.31979999999999997</v>
      </c>
    </row>
    <row r="65" spans="1:6" x14ac:dyDescent="0.25">
      <c r="A65">
        <v>64</v>
      </c>
      <c r="B65" t="s">
        <v>41</v>
      </c>
      <c r="C65" t="s">
        <v>42</v>
      </c>
      <c r="D65" t="s">
        <v>467</v>
      </c>
      <c r="E65">
        <v>264640575</v>
      </c>
      <c r="F65" s="63">
        <v>0.311</v>
      </c>
    </row>
    <row r="66" spans="1:6" x14ac:dyDescent="0.25">
      <c r="A66">
        <v>65</v>
      </c>
      <c r="B66" t="s">
        <v>85</v>
      </c>
      <c r="C66" t="s">
        <v>86</v>
      </c>
      <c r="D66" t="s">
        <v>461</v>
      </c>
      <c r="E66">
        <v>294036156</v>
      </c>
      <c r="F66" s="63">
        <v>0.29849999999999999</v>
      </c>
    </row>
    <row r="67" spans="1:6" x14ac:dyDescent="0.25">
      <c r="A67">
        <v>66</v>
      </c>
      <c r="B67" t="s">
        <v>56</v>
      </c>
      <c r="C67" t="s">
        <v>57</v>
      </c>
      <c r="D67" t="s">
        <v>461</v>
      </c>
      <c r="E67">
        <v>187714249</v>
      </c>
      <c r="F67" s="63">
        <v>0.29599999999999999</v>
      </c>
    </row>
    <row r="68" spans="1:6" x14ac:dyDescent="0.25">
      <c r="A68">
        <v>67</v>
      </c>
      <c r="B68" t="s">
        <v>182</v>
      </c>
      <c r="C68" t="s">
        <v>183</v>
      </c>
      <c r="D68" t="s">
        <v>467</v>
      </c>
      <c r="E68">
        <v>513781576</v>
      </c>
      <c r="F68" s="63">
        <v>0.29389999999999999</v>
      </c>
    </row>
    <row r="69" spans="1:6" x14ac:dyDescent="0.25">
      <c r="A69">
        <v>68</v>
      </c>
      <c r="B69" t="s">
        <v>83</v>
      </c>
      <c r="C69" t="s">
        <v>84</v>
      </c>
      <c r="D69" t="s">
        <v>461</v>
      </c>
      <c r="E69">
        <v>736160905</v>
      </c>
      <c r="F69" s="63">
        <v>0.29299999999999998</v>
      </c>
    </row>
    <row r="70" spans="1:6" x14ac:dyDescent="0.25">
      <c r="A70">
        <v>69</v>
      </c>
      <c r="B70" t="s">
        <v>138</v>
      </c>
      <c r="C70" t="s">
        <v>139</v>
      </c>
      <c r="D70" t="s">
        <v>461</v>
      </c>
      <c r="E70">
        <v>298796441</v>
      </c>
      <c r="F70" s="63">
        <v>0.2878</v>
      </c>
    </row>
    <row r="71" spans="1:6" x14ac:dyDescent="0.25">
      <c r="A71">
        <v>70</v>
      </c>
      <c r="B71" t="s">
        <v>50</v>
      </c>
      <c r="C71" t="s">
        <v>51</v>
      </c>
      <c r="D71" t="s">
        <v>461</v>
      </c>
      <c r="E71">
        <v>1112196638</v>
      </c>
      <c r="F71" s="63">
        <v>0.27960000000000002</v>
      </c>
    </row>
    <row r="72" spans="1:6" x14ac:dyDescent="0.25">
      <c r="A72">
        <v>71</v>
      </c>
      <c r="B72" t="s">
        <v>93</v>
      </c>
      <c r="C72" t="s">
        <v>94</v>
      </c>
      <c r="D72" t="s">
        <v>461</v>
      </c>
      <c r="E72">
        <v>95756217</v>
      </c>
      <c r="F72" s="63">
        <v>0.20419999999999999</v>
      </c>
    </row>
    <row r="73" spans="1:6" x14ac:dyDescent="0.25">
      <c r="A73">
        <v>72</v>
      </c>
      <c r="B73" t="s">
        <v>25</v>
      </c>
      <c r="C73" t="s">
        <v>26</v>
      </c>
      <c r="D73" t="s">
        <v>461</v>
      </c>
      <c r="E73">
        <v>259565738</v>
      </c>
      <c r="F73" s="63">
        <v>0.17749999999999999</v>
      </c>
    </row>
    <row r="74" spans="1:6" x14ac:dyDescent="0.25">
      <c r="A74">
        <v>73</v>
      </c>
      <c r="B74" t="s">
        <v>111</v>
      </c>
      <c r="C74" t="s">
        <v>112</v>
      </c>
      <c r="D74" t="s">
        <v>461</v>
      </c>
      <c r="E74">
        <v>85796919</v>
      </c>
      <c r="F74" s="63">
        <v>0.15909999999999999</v>
      </c>
    </row>
    <row r="75" spans="1:6" x14ac:dyDescent="0.25">
      <c r="A75">
        <v>74</v>
      </c>
      <c r="B75" t="s">
        <v>103</v>
      </c>
      <c r="C75" t="s">
        <v>104</v>
      </c>
      <c r="D75" t="s">
        <v>463</v>
      </c>
      <c r="E75">
        <v>137716367</v>
      </c>
      <c r="F75" s="63">
        <v>0.14779999999999999</v>
      </c>
    </row>
    <row r="76" spans="1:6" x14ac:dyDescent="0.25">
      <c r="A76">
        <v>75</v>
      </c>
      <c r="B76" t="s">
        <v>69</v>
      </c>
      <c r="C76" t="s">
        <v>70</v>
      </c>
      <c r="D76" t="s">
        <v>461</v>
      </c>
      <c r="E76">
        <v>149183975</v>
      </c>
      <c r="F76" s="63">
        <v>0.14480000000000001</v>
      </c>
    </row>
    <row r="77" spans="1:6" x14ac:dyDescent="0.25">
      <c r="A77">
        <v>76</v>
      </c>
      <c r="B77" t="s">
        <v>107</v>
      </c>
      <c r="C77" t="s">
        <v>108</v>
      </c>
      <c r="D77" t="s">
        <v>461</v>
      </c>
      <c r="E77">
        <v>126186408</v>
      </c>
      <c r="F77" s="63">
        <v>0.1341</v>
      </c>
    </row>
    <row r="78" spans="1:6" x14ac:dyDescent="0.25">
      <c r="A78">
        <v>77</v>
      </c>
      <c r="B78" t="s">
        <v>75</v>
      </c>
      <c r="C78" t="s">
        <v>76</v>
      </c>
      <c r="D78" t="s">
        <v>461</v>
      </c>
      <c r="E78">
        <v>171109276</v>
      </c>
      <c r="F78" s="63">
        <v>0.1244</v>
      </c>
    </row>
  </sheetData>
  <sortState xmlns:xlrd2="http://schemas.microsoft.com/office/spreadsheetml/2017/richdata2" ref="B2:F78">
    <sortCondition descending="1" ref="F1:F78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57A5-4C7C-4E73-85F1-367562EB9217}">
  <dimension ref="A1:G93"/>
  <sheetViews>
    <sheetView workbookViewId="0">
      <selection activeCell="M37" sqref="M37"/>
    </sheetView>
  </sheetViews>
  <sheetFormatPr defaultRowHeight="13.5" x14ac:dyDescent="0.25"/>
  <cols>
    <col min="1" max="1" width="9.140625" style="3"/>
    <col min="2" max="2" width="10.7109375" style="3" customWidth="1"/>
    <col min="3" max="3" width="18.28515625" style="3" customWidth="1"/>
    <col min="4" max="4" width="11.42578125" style="3" customWidth="1"/>
    <col min="5" max="5" width="16.5703125" style="3" customWidth="1"/>
    <col min="6" max="6" width="14" style="56" customWidth="1"/>
    <col min="7" max="16384" width="9.140625" style="3"/>
  </cols>
  <sheetData>
    <row r="1" spans="1:6" x14ac:dyDescent="0.25">
      <c r="A1" s="3" t="s">
        <v>662</v>
      </c>
      <c r="B1" s="39" t="s">
        <v>622</v>
      </c>
      <c r="C1" s="39" t="s">
        <v>623</v>
      </c>
      <c r="D1" s="39" t="s">
        <v>626</v>
      </c>
      <c r="E1" s="39" t="s">
        <v>624</v>
      </c>
      <c r="F1" s="45" t="s">
        <v>625</v>
      </c>
    </row>
    <row r="2" spans="1:6" x14ac:dyDescent="0.25">
      <c r="A2" s="3">
        <v>1</v>
      </c>
      <c r="B2" s="4" t="s">
        <v>185</v>
      </c>
      <c r="C2" s="4" t="s">
        <v>186</v>
      </c>
      <c r="D2" s="4" t="s">
        <v>8</v>
      </c>
      <c r="E2" s="51">
        <v>3380233503</v>
      </c>
      <c r="F2" s="57">
        <v>14.478</v>
      </c>
    </row>
    <row r="3" spans="1:6" x14ac:dyDescent="0.25">
      <c r="A3" s="3">
        <v>2</v>
      </c>
      <c r="B3" s="4" t="s">
        <v>118</v>
      </c>
      <c r="C3" s="4" t="s">
        <v>119</v>
      </c>
      <c r="D3" s="4" t="s">
        <v>117</v>
      </c>
      <c r="E3" s="51">
        <v>4780002924</v>
      </c>
      <c r="F3" s="57">
        <v>6.181</v>
      </c>
    </row>
    <row r="4" spans="1:6" x14ac:dyDescent="0.25">
      <c r="A4" s="3">
        <v>3</v>
      </c>
      <c r="B4" s="4" t="s">
        <v>149</v>
      </c>
      <c r="C4" s="4" t="s">
        <v>148</v>
      </c>
      <c r="D4" s="4" t="s">
        <v>13</v>
      </c>
      <c r="E4" s="51">
        <v>4566511125</v>
      </c>
      <c r="F4" s="57">
        <v>5.2220000000000004</v>
      </c>
    </row>
    <row r="5" spans="1:6" x14ac:dyDescent="0.25">
      <c r="A5" s="3">
        <v>4</v>
      </c>
      <c r="B5" s="4" t="s">
        <v>21</v>
      </c>
      <c r="C5" s="4" t="s">
        <v>19</v>
      </c>
      <c r="D5" s="4" t="s">
        <v>22</v>
      </c>
      <c r="E5" s="51">
        <v>4691427537</v>
      </c>
      <c r="F5" s="57">
        <v>4.5179999999999998</v>
      </c>
    </row>
    <row r="6" spans="1:6" x14ac:dyDescent="0.25">
      <c r="A6" s="3">
        <v>5</v>
      </c>
      <c r="B6" s="4" t="s">
        <v>147</v>
      </c>
      <c r="C6" s="4" t="s">
        <v>148</v>
      </c>
      <c r="D6" s="4" t="s">
        <v>142</v>
      </c>
      <c r="E6" s="51">
        <v>3426385188</v>
      </c>
      <c r="F6" s="57">
        <v>4.0629999999999997</v>
      </c>
    </row>
    <row r="7" spans="1:6" x14ac:dyDescent="0.25">
      <c r="A7" s="3">
        <v>6</v>
      </c>
      <c r="B7" s="4" t="s">
        <v>14</v>
      </c>
      <c r="C7" s="4" t="s">
        <v>15</v>
      </c>
      <c r="D7" s="4" t="s">
        <v>8</v>
      </c>
      <c r="E7" s="51">
        <v>6079530858</v>
      </c>
      <c r="F7" s="57">
        <v>3.71</v>
      </c>
    </row>
    <row r="8" spans="1:6" x14ac:dyDescent="0.25">
      <c r="A8" s="3">
        <v>7</v>
      </c>
      <c r="B8" s="4" t="s">
        <v>0</v>
      </c>
      <c r="C8" s="4" t="s">
        <v>1</v>
      </c>
      <c r="D8" s="4" t="s">
        <v>2</v>
      </c>
      <c r="E8" s="51">
        <v>4358814864</v>
      </c>
      <c r="F8" s="57">
        <v>3.1349999999999998</v>
      </c>
    </row>
    <row r="9" spans="1:6" x14ac:dyDescent="0.25">
      <c r="A9" s="3">
        <v>8</v>
      </c>
      <c r="B9" s="4" t="s">
        <v>191</v>
      </c>
      <c r="C9" s="4" t="s">
        <v>192</v>
      </c>
      <c r="D9" s="4" t="s">
        <v>8</v>
      </c>
      <c r="E9" s="51">
        <v>1484859030</v>
      </c>
      <c r="F9" s="57">
        <v>2.3380000000000001</v>
      </c>
    </row>
    <row r="10" spans="1:6" x14ac:dyDescent="0.25">
      <c r="A10" s="3">
        <v>9</v>
      </c>
      <c r="B10" s="4" t="s">
        <v>134</v>
      </c>
      <c r="C10" s="4" t="s">
        <v>135</v>
      </c>
      <c r="D10" s="4" t="s">
        <v>8</v>
      </c>
      <c r="E10" s="51">
        <v>2820185158</v>
      </c>
      <c r="F10" s="57">
        <v>2.3149999999999999</v>
      </c>
    </row>
    <row r="11" spans="1:6" x14ac:dyDescent="0.25">
      <c r="A11" s="3">
        <v>10</v>
      </c>
      <c r="B11" s="4" t="s">
        <v>115</v>
      </c>
      <c r="C11" s="4" t="s">
        <v>116</v>
      </c>
      <c r="D11" s="4" t="s">
        <v>117</v>
      </c>
      <c r="E11" s="51">
        <v>4515559175</v>
      </c>
      <c r="F11" s="57">
        <v>2.206</v>
      </c>
    </row>
    <row r="12" spans="1:6" x14ac:dyDescent="0.25">
      <c r="A12" s="3">
        <v>11</v>
      </c>
      <c r="B12" s="4" t="s">
        <v>99</v>
      </c>
      <c r="C12" s="4" t="s">
        <v>100</v>
      </c>
      <c r="D12" s="4" t="s">
        <v>8</v>
      </c>
      <c r="E12" s="51">
        <v>592114608</v>
      </c>
      <c r="F12" s="57">
        <v>2.101</v>
      </c>
    </row>
    <row r="13" spans="1:6" x14ac:dyDescent="0.25">
      <c r="A13" s="3">
        <v>12</v>
      </c>
      <c r="B13" s="4" t="s">
        <v>171</v>
      </c>
      <c r="C13" s="4" t="s">
        <v>172</v>
      </c>
      <c r="D13" s="4" t="s">
        <v>8</v>
      </c>
      <c r="E13" s="51">
        <v>726779281</v>
      </c>
      <c r="F13" s="57">
        <v>1.948</v>
      </c>
    </row>
    <row r="14" spans="1:6" x14ac:dyDescent="0.25">
      <c r="A14" s="3">
        <v>13</v>
      </c>
      <c r="B14" s="4" t="s">
        <v>143</v>
      </c>
      <c r="C14" s="4" t="s">
        <v>144</v>
      </c>
      <c r="D14" s="4" t="s">
        <v>8</v>
      </c>
      <c r="E14" s="51">
        <v>843870809</v>
      </c>
      <c r="F14" s="57">
        <v>1.859</v>
      </c>
    </row>
    <row r="15" spans="1:6" x14ac:dyDescent="0.25">
      <c r="A15" s="3">
        <v>14</v>
      </c>
      <c r="B15" s="4" t="s">
        <v>120</v>
      </c>
      <c r="C15" s="4" t="s">
        <v>121</v>
      </c>
      <c r="D15" s="4" t="s">
        <v>8</v>
      </c>
      <c r="E15" s="51">
        <v>1346828080</v>
      </c>
      <c r="F15" s="57">
        <v>1.819</v>
      </c>
    </row>
    <row r="16" spans="1:6" x14ac:dyDescent="0.25">
      <c r="A16" s="3">
        <v>15</v>
      </c>
      <c r="B16" s="4" t="s">
        <v>16</v>
      </c>
      <c r="C16" s="4" t="s">
        <v>17</v>
      </c>
      <c r="D16" s="4" t="s">
        <v>8</v>
      </c>
      <c r="E16" s="51">
        <v>1420530937</v>
      </c>
      <c r="F16" s="57">
        <v>1.7969999999999999</v>
      </c>
    </row>
    <row r="17" spans="1:7" x14ac:dyDescent="0.25">
      <c r="A17" s="3">
        <v>16</v>
      </c>
      <c r="B17" s="4" t="s">
        <v>31</v>
      </c>
      <c r="C17" s="4" t="s">
        <v>32</v>
      </c>
      <c r="D17" s="4" t="s">
        <v>29</v>
      </c>
      <c r="E17" s="51">
        <v>1301655996</v>
      </c>
      <c r="F17" s="57">
        <v>1.5509999999999999</v>
      </c>
      <c r="G17" s="7">
        <f>SUM(F2:F17)</f>
        <v>59.241000000000007</v>
      </c>
    </row>
    <row r="18" spans="1:7" x14ac:dyDescent="0.25">
      <c r="A18" s="3">
        <v>17</v>
      </c>
      <c r="B18" s="4" t="s">
        <v>130</v>
      </c>
      <c r="C18" s="4" t="s">
        <v>131</v>
      </c>
      <c r="D18" s="4" t="s">
        <v>8</v>
      </c>
      <c r="E18" s="51">
        <v>889725318</v>
      </c>
      <c r="F18" s="57">
        <v>1.4339999999999999</v>
      </c>
    </row>
    <row r="19" spans="1:7" x14ac:dyDescent="0.25">
      <c r="A19" s="3">
        <v>18</v>
      </c>
      <c r="B19" s="4" t="s">
        <v>162</v>
      </c>
      <c r="C19" s="4" t="s">
        <v>163</v>
      </c>
      <c r="D19" s="4" t="s">
        <v>8</v>
      </c>
      <c r="E19" s="51">
        <v>593944309</v>
      </c>
      <c r="F19" s="57">
        <v>1.413</v>
      </c>
    </row>
    <row r="20" spans="1:7" x14ac:dyDescent="0.25">
      <c r="A20" s="3">
        <v>19</v>
      </c>
      <c r="B20" s="4" t="s">
        <v>27</v>
      </c>
      <c r="C20" s="4" t="s">
        <v>28</v>
      </c>
      <c r="D20" s="4" t="s">
        <v>29</v>
      </c>
      <c r="E20" s="51">
        <v>477617336</v>
      </c>
      <c r="F20" s="57">
        <v>1.3220000000000001</v>
      </c>
    </row>
    <row r="21" spans="1:7" x14ac:dyDescent="0.25">
      <c r="A21" s="3">
        <v>20</v>
      </c>
      <c r="B21" s="4" t="s">
        <v>97</v>
      </c>
      <c r="C21" s="4" t="s">
        <v>98</v>
      </c>
      <c r="D21" s="4" t="s">
        <v>5</v>
      </c>
      <c r="E21" s="51">
        <v>1097534498</v>
      </c>
      <c r="F21" s="57">
        <v>1.3049999999999999</v>
      </c>
      <c r="G21" s="7">
        <f>SUM(F2:F21)</f>
        <v>64.715000000000003</v>
      </c>
    </row>
    <row r="22" spans="1:7" x14ac:dyDescent="0.25">
      <c r="A22" s="3">
        <v>21</v>
      </c>
      <c r="B22" s="4" t="s">
        <v>37</v>
      </c>
      <c r="C22" s="4" t="s">
        <v>38</v>
      </c>
      <c r="D22" s="4" t="s">
        <v>8</v>
      </c>
      <c r="E22" s="51">
        <v>1164602565</v>
      </c>
      <c r="F22" s="57">
        <v>1.296</v>
      </c>
    </row>
    <row r="23" spans="1:7" x14ac:dyDescent="0.25">
      <c r="A23" s="3">
        <v>22</v>
      </c>
      <c r="B23" s="4" t="s">
        <v>156</v>
      </c>
      <c r="C23" s="4" t="s">
        <v>157</v>
      </c>
      <c r="D23" s="4" t="s">
        <v>8</v>
      </c>
      <c r="E23" s="51">
        <v>1071076905</v>
      </c>
      <c r="F23" s="57">
        <v>1.214</v>
      </c>
    </row>
    <row r="24" spans="1:7" x14ac:dyDescent="0.25">
      <c r="A24" s="3">
        <v>23</v>
      </c>
      <c r="B24" s="4" t="s">
        <v>18</v>
      </c>
      <c r="C24" s="4" t="s">
        <v>19</v>
      </c>
      <c r="D24" s="4" t="s">
        <v>20</v>
      </c>
      <c r="E24" s="51">
        <v>1378842305</v>
      </c>
      <c r="F24" s="57">
        <v>1.149</v>
      </c>
    </row>
    <row r="25" spans="1:7" x14ac:dyDescent="0.25">
      <c r="A25" s="3">
        <v>24</v>
      </c>
      <c r="B25" s="4" t="s">
        <v>91</v>
      </c>
      <c r="C25" s="4" t="s">
        <v>92</v>
      </c>
      <c r="D25" s="4" t="s">
        <v>8</v>
      </c>
      <c r="E25" s="51">
        <v>1010511085</v>
      </c>
      <c r="F25" s="57">
        <v>1.1259999999999999</v>
      </c>
    </row>
    <row r="26" spans="1:7" x14ac:dyDescent="0.25">
      <c r="A26" s="3">
        <v>25</v>
      </c>
      <c r="B26" s="4" t="s">
        <v>65</v>
      </c>
      <c r="C26" s="4" t="s">
        <v>66</v>
      </c>
      <c r="D26" s="4" t="s">
        <v>8</v>
      </c>
      <c r="E26" s="51">
        <v>1169237744</v>
      </c>
      <c r="F26" s="57">
        <v>1.1240000000000001</v>
      </c>
    </row>
    <row r="27" spans="1:7" x14ac:dyDescent="0.25">
      <c r="A27" s="3">
        <v>26</v>
      </c>
      <c r="B27" s="4" t="s">
        <v>158</v>
      </c>
      <c r="C27" s="4" t="s">
        <v>159</v>
      </c>
      <c r="D27" s="4" t="s">
        <v>8</v>
      </c>
      <c r="E27" s="51">
        <v>1216056103</v>
      </c>
      <c r="F27" s="57">
        <v>1.0029999999999999</v>
      </c>
    </row>
    <row r="28" spans="1:7" x14ac:dyDescent="0.25">
      <c r="A28" s="3">
        <v>27</v>
      </c>
      <c r="B28" s="4" t="s">
        <v>6</v>
      </c>
      <c r="C28" s="4" t="s">
        <v>7</v>
      </c>
      <c r="D28" s="4" t="s">
        <v>8</v>
      </c>
      <c r="E28" s="51">
        <v>546064815</v>
      </c>
      <c r="F28" s="57">
        <v>0.99299999999999999</v>
      </c>
    </row>
    <row r="29" spans="1:7" x14ac:dyDescent="0.25">
      <c r="A29" s="3">
        <v>28</v>
      </c>
      <c r="B29" s="4" t="s">
        <v>67</v>
      </c>
      <c r="C29" s="4" t="s">
        <v>68</v>
      </c>
      <c r="D29" s="4" t="s">
        <v>2</v>
      </c>
      <c r="E29" s="51">
        <v>642398790</v>
      </c>
      <c r="F29" s="57">
        <v>0.97099999999999997</v>
      </c>
    </row>
    <row r="30" spans="1:7" x14ac:dyDescent="0.25">
      <c r="A30" s="3">
        <v>29</v>
      </c>
      <c r="B30" s="4" t="s">
        <v>160</v>
      </c>
      <c r="C30" s="4" t="s">
        <v>161</v>
      </c>
      <c r="D30" s="4" t="s">
        <v>8</v>
      </c>
      <c r="E30" s="51">
        <v>320214380</v>
      </c>
      <c r="F30" s="57">
        <v>0.95299999999999996</v>
      </c>
    </row>
    <row r="31" spans="1:7" x14ac:dyDescent="0.25">
      <c r="A31" s="3">
        <v>30</v>
      </c>
      <c r="B31" s="4" t="s">
        <v>124</v>
      </c>
      <c r="C31" s="4" t="s">
        <v>125</v>
      </c>
      <c r="D31" s="4" t="s">
        <v>29</v>
      </c>
      <c r="E31" s="51">
        <v>812994397</v>
      </c>
      <c r="F31" s="57">
        <v>0.90900000000000003</v>
      </c>
    </row>
    <row r="32" spans="1:7" x14ac:dyDescent="0.25">
      <c r="A32" s="3">
        <v>31</v>
      </c>
      <c r="B32" s="4" t="s">
        <v>87</v>
      </c>
      <c r="C32" s="4" t="s">
        <v>88</v>
      </c>
      <c r="D32" s="4" t="s">
        <v>8</v>
      </c>
      <c r="E32" s="51">
        <v>1261568398</v>
      </c>
      <c r="F32" s="57">
        <v>0.87</v>
      </c>
    </row>
    <row r="33" spans="1:6" x14ac:dyDescent="0.25">
      <c r="A33" s="3">
        <v>32</v>
      </c>
      <c r="B33" s="4" t="s">
        <v>105</v>
      </c>
      <c r="C33" s="4" t="s">
        <v>106</v>
      </c>
      <c r="D33" s="4" t="s">
        <v>8</v>
      </c>
      <c r="E33" s="51">
        <v>1306939210</v>
      </c>
      <c r="F33" s="57">
        <v>0.84499999999999997</v>
      </c>
    </row>
    <row r="34" spans="1:6" x14ac:dyDescent="0.25">
      <c r="A34" s="3">
        <v>33</v>
      </c>
      <c r="B34" s="4" t="s">
        <v>39</v>
      </c>
      <c r="C34" s="4" t="s">
        <v>40</v>
      </c>
      <c r="D34" s="4" t="s">
        <v>8</v>
      </c>
      <c r="E34" s="51">
        <v>811759800</v>
      </c>
      <c r="F34" s="57">
        <v>0.83799999999999997</v>
      </c>
    </row>
    <row r="35" spans="1:6" x14ac:dyDescent="0.25">
      <c r="A35" s="3">
        <v>34</v>
      </c>
      <c r="B35" s="4" t="s">
        <v>178</v>
      </c>
      <c r="C35" s="4" t="s">
        <v>179</v>
      </c>
      <c r="D35" s="4" t="s">
        <v>8</v>
      </c>
      <c r="E35" s="51">
        <v>480960677</v>
      </c>
      <c r="F35" s="57">
        <v>0.81799999999999995</v>
      </c>
    </row>
    <row r="36" spans="1:6" x14ac:dyDescent="0.25">
      <c r="A36" s="3">
        <v>35</v>
      </c>
      <c r="B36" s="4" t="s">
        <v>189</v>
      </c>
      <c r="C36" s="4" t="s">
        <v>190</v>
      </c>
      <c r="D36" s="4" t="s">
        <v>2</v>
      </c>
      <c r="E36" s="51">
        <v>443933052</v>
      </c>
      <c r="F36" s="57">
        <v>0.81200000000000006</v>
      </c>
    </row>
    <row r="37" spans="1:6" x14ac:dyDescent="0.25">
      <c r="A37" s="3">
        <v>36</v>
      </c>
      <c r="B37" s="4" t="s">
        <v>41</v>
      </c>
      <c r="C37" s="4" t="s">
        <v>42</v>
      </c>
      <c r="D37" s="4" t="s">
        <v>43</v>
      </c>
      <c r="E37" s="51">
        <v>264642296</v>
      </c>
      <c r="F37" s="57">
        <v>0.76800000000000002</v>
      </c>
    </row>
    <row r="38" spans="1:6" x14ac:dyDescent="0.25">
      <c r="A38" s="3">
        <v>37</v>
      </c>
      <c r="B38" s="4" t="s">
        <v>180</v>
      </c>
      <c r="C38" s="4" t="s">
        <v>181</v>
      </c>
      <c r="D38" s="4" t="s">
        <v>8</v>
      </c>
      <c r="E38" s="51">
        <v>1084337016</v>
      </c>
      <c r="F38" s="57">
        <v>0.69499999999999995</v>
      </c>
    </row>
    <row r="39" spans="1:6" x14ac:dyDescent="0.25">
      <c r="A39" s="3">
        <v>38</v>
      </c>
      <c r="B39" s="4" t="s">
        <v>83</v>
      </c>
      <c r="C39" s="4" t="s">
        <v>84</v>
      </c>
      <c r="D39" s="4" t="s">
        <v>8</v>
      </c>
      <c r="E39" s="51">
        <v>734558205</v>
      </c>
      <c r="F39" s="57">
        <v>0.69399999999999995</v>
      </c>
    </row>
    <row r="40" spans="1:6" x14ac:dyDescent="0.25">
      <c r="A40" s="3">
        <v>39</v>
      </c>
      <c r="B40" s="4" t="s">
        <v>187</v>
      </c>
      <c r="C40" s="4" t="s">
        <v>188</v>
      </c>
      <c r="D40" s="4" t="s">
        <v>8</v>
      </c>
      <c r="E40" s="51">
        <v>1595895585</v>
      </c>
      <c r="F40" s="57">
        <v>0.66700000000000004</v>
      </c>
    </row>
    <row r="41" spans="1:6" x14ac:dyDescent="0.25">
      <c r="A41" s="3">
        <v>40</v>
      </c>
      <c r="B41" s="4" t="s">
        <v>152</v>
      </c>
      <c r="C41" s="4" t="s">
        <v>153</v>
      </c>
      <c r="D41" s="4" t="s">
        <v>8</v>
      </c>
      <c r="E41" s="51">
        <v>839159130</v>
      </c>
      <c r="F41" s="57">
        <v>0.66200000000000003</v>
      </c>
    </row>
    <row r="42" spans="1:6" x14ac:dyDescent="0.25">
      <c r="A42" s="3">
        <v>41</v>
      </c>
      <c r="B42" s="4" t="s">
        <v>52</v>
      </c>
      <c r="C42" s="4" t="s">
        <v>53</v>
      </c>
      <c r="D42" s="4" t="s">
        <v>5</v>
      </c>
      <c r="E42" s="51">
        <v>1114214662</v>
      </c>
      <c r="F42" s="57">
        <v>0.65900000000000003</v>
      </c>
    </row>
    <row r="43" spans="1:6" x14ac:dyDescent="0.25">
      <c r="A43" s="3">
        <v>42</v>
      </c>
      <c r="B43" s="4" t="s">
        <v>9</v>
      </c>
      <c r="C43" s="4" t="s">
        <v>10</v>
      </c>
      <c r="D43" s="4" t="s">
        <v>8</v>
      </c>
      <c r="E43" s="51">
        <v>794116430</v>
      </c>
      <c r="F43" s="57">
        <v>0.626</v>
      </c>
    </row>
    <row r="44" spans="1:6" x14ac:dyDescent="0.25">
      <c r="A44" s="3">
        <v>43</v>
      </c>
      <c r="B44" s="4" t="s">
        <v>109</v>
      </c>
      <c r="C44" s="4" t="s">
        <v>110</v>
      </c>
      <c r="D44" s="4" t="s">
        <v>8</v>
      </c>
      <c r="E44" s="51">
        <v>411803359</v>
      </c>
      <c r="F44" s="57">
        <v>0.61699999999999999</v>
      </c>
    </row>
    <row r="45" spans="1:6" x14ac:dyDescent="0.25">
      <c r="A45" s="3">
        <v>44</v>
      </c>
      <c r="B45" s="4" t="s">
        <v>164</v>
      </c>
      <c r="C45" s="4" t="s">
        <v>165</v>
      </c>
      <c r="D45" s="4" t="s">
        <v>166</v>
      </c>
      <c r="E45" s="51">
        <v>362703399</v>
      </c>
      <c r="F45" s="57">
        <v>0.61299999999999999</v>
      </c>
    </row>
    <row r="46" spans="1:6" x14ac:dyDescent="0.25">
      <c r="A46" s="3">
        <v>45</v>
      </c>
      <c r="B46" s="4" t="s">
        <v>35</v>
      </c>
      <c r="C46" s="4" t="s">
        <v>36</v>
      </c>
      <c r="D46" s="4" t="s">
        <v>5</v>
      </c>
      <c r="E46" s="51">
        <v>222604507</v>
      </c>
      <c r="F46" s="57">
        <v>0.60499999999999998</v>
      </c>
    </row>
    <row r="47" spans="1:6" x14ac:dyDescent="0.25">
      <c r="A47" s="3">
        <v>46</v>
      </c>
      <c r="B47" s="4" t="s">
        <v>48</v>
      </c>
      <c r="C47" s="4" t="s">
        <v>49</v>
      </c>
      <c r="D47" s="4" t="s">
        <v>8</v>
      </c>
      <c r="E47" s="51">
        <v>1115693556</v>
      </c>
      <c r="F47" s="57">
        <v>0.57799999999999996</v>
      </c>
    </row>
    <row r="48" spans="1:6" x14ac:dyDescent="0.25">
      <c r="A48" s="3">
        <v>47</v>
      </c>
      <c r="B48" s="4" t="s">
        <v>79</v>
      </c>
      <c r="C48" s="4" t="s">
        <v>80</v>
      </c>
      <c r="D48" s="4" t="s">
        <v>81</v>
      </c>
      <c r="E48" s="51">
        <v>358028908</v>
      </c>
      <c r="F48" s="57">
        <v>0.57799999999999996</v>
      </c>
    </row>
    <row r="49" spans="1:6" x14ac:dyDescent="0.25">
      <c r="A49" s="3">
        <v>48</v>
      </c>
      <c r="B49" s="4" t="s">
        <v>23</v>
      </c>
      <c r="C49" s="4" t="s">
        <v>24</v>
      </c>
      <c r="D49" s="4" t="s">
        <v>8</v>
      </c>
      <c r="E49" s="51">
        <v>671629692</v>
      </c>
      <c r="F49" s="57">
        <v>0.56000000000000005</v>
      </c>
    </row>
    <row r="50" spans="1:6" x14ac:dyDescent="0.25">
      <c r="A50" s="3">
        <v>49</v>
      </c>
      <c r="B50" s="4" t="s">
        <v>167</v>
      </c>
      <c r="C50" s="4" t="s">
        <v>168</v>
      </c>
      <c r="D50" s="4" t="s">
        <v>8</v>
      </c>
      <c r="E50" s="51">
        <v>340001934</v>
      </c>
      <c r="F50" s="57">
        <v>0.52600000000000002</v>
      </c>
    </row>
    <row r="51" spans="1:6" x14ac:dyDescent="0.25">
      <c r="A51" s="3">
        <v>50</v>
      </c>
      <c r="B51" s="4" t="s">
        <v>11</v>
      </c>
      <c r="C51" s="4" t="s">
        <v>12</v>
      </c>
      <c r="D51" s="4" t="s">
        <v>13</v>
      </c>
      <c r="E51" s="51">
        <v>327741172</v>
      </c>
      <c r="F51" s="57">
        <v>0.52200000000000002</v>
      </c>
    </row>
    <row r="52" spans="1:6" x14ac:dyDescent="0.25">
      <c r="A52" s="3">
        <v>51</v>
      </c>
      <c r="B52" s="4" t="s">
        <v>89</v>
      </c>
      <c r="C52" s="4" t="s">
        <v>90</v>
      </c>
      <c r="D52" s="4" t="s">
        <v>29</v>
      </c>
      <c r="E52" s="51">
        <v>248542219</v>
      </c>
      <c r="F52" s="57">
        <v>0.47299999999999998</v>
      </c>
    </row>
    <row r="53" spans="1:6" x14ac:dyDescent="0.25">
      <c r="A53" s="3">
        <v>52</v>
      </c>
      <c r="B53" s="4" t="s">
        <v>60</v>
      </c>
      <c r="C53" s="4" t="s">
        <v>61</v>
      </c>
      <c r="D53" s="4" t="s">
        <v>62</v>
      </c>
      <c r="E53" s="51">
        <v>1563365506</v>
      </c>
      <c r="F53" s="57">
        <v>0.46100000000000002</v>
      </c>
    </row>
    <row r="54" spans="1:6" x14ac:dyDescent="0.25">
      <c r="A54" s="3">
        <v>53</v>
      </c>
      <c r="B54" s="4" t="s">
        <v>132</v>
      </c>
      <c r="C54" s="4" t="s">
        <v>133</v>
      </c>
      <c r="D54" s="4" t="s">
        <v>8</v>
      </c>
      <c r="E54" s="51">
        <v>431783548</v>
      </c>
      <c r="F54" s="57">
        <v>0.45</v>
      </c>
    </row>
    <row r="55" spans="1:6" x14ac:dyDescent="0.25">
      <c r="A55" s="3">
        <v>54</v>
      </c>
      <c r="B55" s="4" t="s">
        <v>77</v>
      </c>
      <c r="C55" s="4" t="s">
        <v>78</v>
      </c>
      <c r="D55" s="4" t="s">
        <v>8</v>
      </c>
      <c r="E55" s="51">
        <v>255217329</v>
      </c>
      <c r="F55" s="57">
        <v>0.436</v>
      </c>
    </row>
    <row r="56" spans="1:6" x14ac:dyDescent="0.25">
      <c r="A56" s="3">
        <v>55</v>
      </c>
      <c r="B56" s="4" t="s">
        <v>176</v>
      </c>
      <c r="C56" s="4" t="s">
        <v>177</v>
      </c>
      <c r="D56" s="4" t="s">
        <v>8</v>
      </c>
      <c r="E56" s="51">
        <v>808619532</v>
      </c>
      <c r="F56" s="57">
        <v>0.41799999999999998</v>
      </c>
    </row>
    <row r="57" spans="1:6" x14ac:dyDescent="0.25">
      <c r="A57" s="3">
        <v>56</v>
      </c>
      <c r="B57" s="4" t="s">
        <v>3</v>
      </c>
      <c r="C57" s="4" t="s">
        <v>4</v>
      </c>
      <c r="D57" s="4" t="s">
        <v>5</v>
      </c>
      <c r="E57" s="51">
        <v>167963777</v>
      </c>
      <c r="F57" s="57">
        <v>0.41399999999999998</v>
      </c>
    </row>
    <row r="58" spans="1:6" x14ac:dyDescent="0.25">
      <c r="A58" s="3">
        <v>57</v>
      </c>
      <c r="B58" s="4" t="s">
        <v>82</v>
      </c>
      <c r="C58" s="4" t="s">
        <v>80</v>
      </c>
      <c r="D58" s="4" t="s">
        <v>62</v>
      </c>
      <c r="E58" s="51">
        <v>242987127</v>
      </c>
      <c r="F58" s="57">
        <v>0.39900000000000002</v>
      </c>
    </row>
    <row r="59" spans="1:6" x14ac:dyDescent="0.25">
      <c r="A59" s="3">
        <v>58</v>
      </c>
      <c r="B59" s="4" t="s">
        <v>101</v>
      </c>
      <c r="C59" s="4" t="s">
        <v>102</v>
      </c>
      <c r="D59" s="4" t="s">
        <v>5</v>
      </c>
      <c r="E59" s="51">
        <v>698275321</v>
      </c>
      <c r="F59" s="57">
        <v>0.377</v>
      </c>
    </row>
    <row r="60" spans="1:6" x14ac:dyDescent="0.25">
      <c r="A60" s="3">
        <v>59</v>
      </c>
      <c r="B60" s="4" t="s">
        <v>182</v>
      </c>
      <c r="C60" s="4" t="s">
        <v>183</v>
      </c>
      <c r="D60" s="4" t="s">
        <v>184</v>
      </c>
      <c r="E60" s="51">
        <v>514680651</v>
      </c>
      <c r="F60" s="57">
        <v>0.36399999999999999</v>
      </c>
    </row>
    <row r="61" spans="1:6" x14ac:dyDescent="0.25">
      <c r="A61" s="3">
        <v>60</v>
      </c>
      <c r="B61" s="4" t="s">
        <v>173</v>
      </c>
      <c r="C61" s="4" t="s">
        <v>174</v>
      </c>
      <c r="D61" s="4" t="s">
        <v>29</v>
      </c>
      <c r="E61" s="51">
        <v>218568234</v>
      </c>
      <c r="F61" s="57">
        <v>0.35599999999999998</v>
      </c>
    </row>
    <row r="62" spans="1:6" x14ac:dyDescent="0.25">
      <c r="A62" s="3">
        <v>61</v>
      </c>
      <c r="B62" s="4" t="s">
        <v>169</v>
      </c>
      <c r="C62" s="4" t="s">
        <v>170</v>
      </c>
      <c r="D62" s="4" t="s">
        <v>29</v>
      </c>
      <c r="E62" s="51">
        <v>284771028</v>
      </c>
      <c r="F62" s="57">
        <v>0.34799999999999998</v>
      </c>
    </row>
    <row r="63" spans="1:6" x14ac:dyDescent="0.25">
      <c r="A63" s="3">
        <v>62</v>
      </c>
      <c r="B63" s="4" t="s">
        <v>128</v>
      </c>
      <c r="C63" s="4" t="s">
        <v>129</v>
      </c>
      <c r="D63" s="4" t="s">
        <v>8</v>
      </c>
      <c r="E63" s="51">
        <v>324522975</v>
      </c>
      <c r="F63" s="57">
        <v>0.34399999999999997</v>
      </c>
    </row>
    <row r="64" spans="1:6" x14ac:dyDescent="0.25">
      <c r="A64" s="3">
        <v>63</v>
      </c>
      <c r="B64" s="4" t="s">
        <v>63</v>
      </c>
      <c r="C64" s="4" t="s">
        <v>64</v>
      </c>
      <c r="D64" s="4" t="s">
        <v>8</v>
      </c>
      <c r="E64" s="51">
        <v>410988561</v>
      </c>
      <c r="F64" s="57">
        <v>0.32700000000000001</v>
      </c>
    </row>
    <row r="65" spans="1:6" x14ac:dyDescent="0.25">
      <c r="A65" s="3">
        <v>64</v>
      </c>
      <c r="B65" s="4" t="s">
        <v>193</v>
      </c>
      <c r="C65" s="4" t="s">
        <v>194</v>
      </c>
      <c r="D65" s="4" t="s">
        <v>8</v>
      </c>
      <c r="E65" s="51">
        <v>300833122</v>
      </c>
      <c r="F65" s="57">
        <v>0.32500000000000001</v>
      </c>
    </row>
    <row r="66" spans="1:6" x14ac:dyDescent="0.25">
      <c r="A66" s="3">
        <v>65</v>
      </c>
      <c r="B66" s="4" t="s">
        <v>136</v>
      </c>
      <c r="C66" s="4" t="s">
        <v>137</v>
      </c>
      <c r="D66" s="4" t="s">
        <v>8</v>
      </c>
      <c r="E66" s="51">
        <v>348234011</v>
      </c>
      <c r="F66" s="57">
        <v>0.32300000000000001</v>
      </c>
    </row>
    <row r="67" spans="1:6" x14ac:dyDescent="0.25">
      <c r="A67" s="3">
        <v>66</v>
      </c>
      <c r="B67" s="4" t="s">
        <v>44</v>
      </c>
      <c r="C67" s="4" t="s">
        <v>45</v>
      </c>
      <c r="D67" s="4" t="s">
        <v>8</v>
      </c>
      <c r="E67" s="51">
        <v>843728684</v>
      </c>
      <c r="F67" s="57">
        <v>0.317</v>
      </c>
    </row>
    <row r="68" spans="1:6" x14ac:dyDescent="0.25">
      <c r="A68" s="3">
        <v>67</v>
      </c>
      <c r="B68" s="4" t="s">
        <v>95</v>
      </c>
      <c r="C68" s="4" t="s">
        <v>96</v>
      </c>
      <c r="D68" s="4" t="s">
        <v>8</v>
      </c>
      <c r="E68" s="51">
        <v>303005900</v>
      </c>
      <c r="F68" s="57">
        <v>0.313</v>
      </c>
    </row>
    <row r="69" spans="1:6" x14ac:dyDescent="0.25">
      <c r="A69" s="3">
        <v>68</v>
      </c>
      <c r="B69" s="4" t="s">
        <v>150</v>
      </c>
      <c r="C69" s="4" t="s">
        <v>151</v>
      </c>
      <c r="D69" s="4" t="s">
        <v>8</v>
      </c>
      <c r="E69" s="51">
        <v>258407844</v>
      </c>
      <c r="F69" s="57">
        <v>0.29899999999999999</v>
      </c>
    </row>
    <row r="70" spans="1:6" x14ac:dyDescent="0.25">
      <c r="A70" s="3">
        <v>69</v>
      </c>
      <c r="B70" s="4" t="s">
        <v>113</v>
      </c>
      <c r="C70" s="4" t="s">
        <v>114</v>
      </c>
      <c r="D70" s="4" t="s">
        <v>8</v>
      </c>
      <c r="E70" s="51">
        <v>1255286531</v>
      </c>
      <c r="F70" s="57">
        <v>0.28100000000000003</v>
      </c>
    </row>
    <row r="71" spans="1:6" x14ac:dyDescent="0.25">
      <c r="A71" s="3">
        <v>70</v>
      </c>
      <c r="B71" s="4" t="s">
        <v>154</v>
      </c>
      <c r="C71" s="4" t="s">
        <v>155</v>
      </c>
      <c r="D71" s="4" t="s">
        <v>8</v>
      </c>
      <c r="E71" s="51">
        <v>283670037</v>
      </c>
      <c r="F71" s="57">
        <v>0.27700000000000002</v>
      </c>
    </row>
    <row r="72" spans="1:6" x14ac:dyDescent="0.25">
      <c r="A72" s="3">
        <v>71</v>
      </c>
      <c r="B72" s="4" t="s">
        <v>33</v>
      </c>
      <c r="C72" s="4" t="s">
        <v>34</v>
      </c>
      <c r="D72" s="4" t="s">
        <v>5</v>
      </c>
      <c r="E72" s="51">
        <v>341124068</v>
      </c>
      <c r="F72" s="57">
        <v>0.25700000000000001</v>
      </c>
    </row>
    <row r="73" spans="1:6" x14ac:dyDescent="0.25">
      <c r="A73" s="3">
        <v>72</v>
      </c>
      <c r="B73" s="4" t="s">
        <v>54</v>
      </c>
      <c r="C73" s="4" t="s">
        <v>55</v>
      </c>
      <c r="D73" s="4" t="s">
        <v>8</v>
      </c>
      <c r="E73" s="51">
        <v>1847994874</v>
      </c>
      <c r="F73" s="57">
        <v>0.24399999999999999</v>
      </c>
    </row>
    <row r="74" spans="1:6" x14ac:dyDescent="0.25">
      <c r="A74" s="3">
        <v>73</v>
      </c>
      <c r="B74" s="4" t="s">
        <v>140</v>
      </c>
      <c r="C74" s="4" t="s">
        <v>141</v>
      </c>
      <c r="D74" s="4" t="s">
        <v>142</v>
      </c>
      <c r="E74" s="51">
        <v>273506645</v>
      </c>
      <c r="F74" s="57">
        <v>0.24</v>
      </c>
    </row>
    <row r="75" spans="1:6" x14ac:dyDescent="0.25">
      <c r="A75" s="3">
        <v>74</v>
      </c>
      <c r="B75" s="4" t="s">
        <v>73</v>
      </c>
      <c r="C75" s="4" t="s">
        <v>74</v>
      </c>
      <c r="D75" s="4" t="s">
        <v>8</v>
      </c>
      <c r="E75" s="51">
        <v>272062873</v>
      </c>
      <c r="F75" s="57">
        <v>0.23899999999999999</v>
      </c>
    </row>
    <row r="76" spans="1:6" x14ac:dyDescent="0.25">
      <c r="A76" s="3">
        <v>75</v>
      </c>
      <c r="B76" s="4" t="s">
        <v>71</v>
      </c>
      <c r="C76" s="4" t="s">
        <v>72</v>
      </c>
      <c r="D76" s="4" t="s">
        <v>8</v>
      </c>
      <c r="E76" s="51">
        <v>281609283</v>
      </c>
      <c r="F76" s="57">
        <v>0.23100000000000001</v>
      </c>
    </row>
    <row r="77" spans="1:6" x14ac:dyDescent="0.25">
      <c r="A77" s="3">
        <v>76</v>
      </c>
      <c r="B77" s="4" t="s">
        <v>56</v>
      </c>
      <c r="C77" s="4" t="s">
        <v>57</v>
      </c>
      <c r="D77" s="4" t="s">
        <v>58</v>
      </c>
      <c r="E77" s="51">
        <v>187732538</v>
      </c>
      <c r="F77" s="57">
        <v>0.223</v>
      </c>
    </row>
    <row r="78" spans="1:6" x14ac:dyDescent="0.25">
      <c r="A78" s="3">
        <v>77</v>
      </c>
      <c r="B78" s="4" t="s">
        <v>126</v>
      </c>
      <c r="C78" s="4" t="s">
        <v>127</v>
      </c>
      <c r="D78" s="4" t="s">
        <v>5</v>
      </c>
      <c r="E78" s="51">
        <v>853524256</v>
      </c>
      <c r="F78" s="57">
        <v>0.223</v>
      </c>
    </row>
    <row r="79" spans="1:6" x14ac:dyDescent="0.25">
      <c r="A79" s="3">
        <v>78</v>
      </c>
      <c r="B79" s="4" t="s">
        <v>69</v>
      </c>
      <c r="C79" s="4" t="s">
        <v>70</v>
      </c>
      <c r="D79" s="4" t="s">
        <v>8</v>
      </c>
      <c r="E79" s="51">
        <v>224571661</v>
      </c>
      <c r="F79" s="57">
        <v>0.19600000000000001</v>
      </c>
    </row>
    <row r="80" spans="1:6" x14ac:dyDescent="0.25">
      <c r="A80" s="3">
        <v>79</v>
      </c>
      <c r="B80" s="4" t="s">
        <v>107</v>
      </c>
      <c r="C80" s="4" t="s">
        <v>108</v>
      </c>
      <c r="D80" s="4" t="s">
        <v>8</v>
      </c>
      <c r="E80" s="51">
        <v>117608748</v>
      </c>
      <c r="F80" s="57">
        <v>0.186</v>
      </c>
    </row>
    <row r="81" spans="1:6" x14ac:dyDescent="0.25">
      <c r="A81" s="3">
        <v>80</v>
      </c>
      <c r="B81" s="4" t="s">
        <v>145</v>
      </c>
      <c r="C81" s="4" t="s">
        <v>146</v>
      </c>
      <c r="D81" s="4" t="s">
        <v>8</v>
      </c>
      <c r="E81" s="51">
        <v>156946474</v>
      </c>
      <c r="F81" s="57">
        <v>0.185</v>
      </c>
    </row>
    <row r="82" spans="1:6" x14ac:dyDescent="0.25">
      <c r="A82" s="3">
        <v>81</v>
      </c>
      <c r="B82" s="4" t="s">
        <v>85</v>
      </c>
      <c r="C82" s="4" t="s">
        <v>86</v>
      </c>
      <c r="D82" s="4" t="s">
        <v>8</v>
      </c>
      <c r="E82" s="51">
        <v>231489471</v>
      </c>
      <c r="F82" s="57">
        <v>0.184</v>
      </c>
    </row>
    <row r="83" spans="1:6" x14ac:dyDescent="0.25">
      <c r="A83" s="3">
        <v>82</v>
      </c>
      <c r="B83" s="4" t="s">
        <v>138</v>
      </c>
      <c r="C83" s="4" t="s">
        <v>139</v>
      </c>
      <c r="D83" s="4" t="s">
        <v>8</v>
      </c>
      <c r="E83" s="51">
        <v>294643879</v>
      </c>
      <c r="F83" s="57">
        <v>0.16900000000000001</v>
      </c>
    </row>
    <row r="84" spans="1:6" x14ac:dyDescent="0.25">
      <c r="A84" s="3">
        <v>83</v>
      </c>
      <c r="B84" s="4" t="s">
        <v>30</v>
      </c>
      <c r="C84" s="4" t="s">
        <v>28</v>
      </c>
      <c r="D84" s="4" t="s">
        <v>13</v>
      </c>
      <c r="E84" s="51">
        <v>186303277</v>
      </c>
      <c r="F84" s="57">
        <v>0.16400000000000001</v>
      </c>
    </row>
    <row r="85" spans="1:6" x14ac:dyDescent="0.25">
      <c r="A85" s="3">
        <v>84</v>
      </c>
      <c r="B85" s="4" t="s">
        <v>75</v>
      </c>
      <c r="C85" s="4" t="s">
        <v>76</v>
      </c>
      <c r="D85" s="4" t="s">
        <v>8</v>
      </c>
      <c r="E85" s="51">
        <v>339237914</v>
      </c>
      <c r="F85" s="57">
        <v>0.14399999999999999</v>
      </c>
    </row>
    <row r="86" spans="1:6" x14ac:dyDescent="0.25">
      <c r="A86" s="3">
        <v>85</v>
      </c>
      <c r="B86" s="4" t="s">
        <v>46</v>
      </c>
      <c r="C86" s="4" t="s">
        <v>47</v>
      </c>
      <c r="D86" s="4" t="s">
        <v>8</v>
      </c>
      <c r="E86" s="51">
        <v>90581467</v>
      </c>
      <c r="F86" s="57">
        <v>0.13900000000000001</v>
      </c>
    </row>
    <row r="87" spans="1:6" x14ac:dyDescent="0.25">
      <c r="A87" s="3">
        <v>86</v>
      </c>
      <c r="B87" s="4" t="s">
        <v>103</v>
      </c>
      <c r="C87" s="4" t="s">
        <v>104</v>
      </c>
      <c r="D87" s="4" t="s">
        <v>13</v>
      </c>
      <c r="E87" s="51">
        <v>167095214</v>
      </c>
      <c r="F87" s="57">
        <v>0.13800000000000001</v>
      </c>
    </row>
    <row r="88" spans="1:6" x14ac:dyDescent="0.25">
      <c r="A88" s="3">
        <v>87</v>
      </c>
      <c r="B88" s="4" t="s">
        <v>50</v>
      </c>
      <c r="C88" s="4" t="s">
        <v>51</v>
      </c>
      <c r="D88" s="4" t="s">
        <v>8</v>
      </c>
      <c r="E88" s="51">
        <v>1144359228</v>
      </c>
      <c r="F88" s="57">
        <v>0.129</v>
      </c>
    </row>
    <row r="89" spans="1:6" x14ac:dyDescent="0.25">
      <c r="A89" s="3">
        <v>88</v>
      </c>
      <c r="B89" s="4" t="s">
        <v>111</v>
      </c>
      <c r="C89" s="4" t="s">
        <v>112</v>
      </c>
      <c r="D89" s="4" t="s">
        <v>8</v>
      </c>
      <c r="E89" s="51">
        <v>85748277</v>
      </c>
      <c r="F89" s="57">
        <v>0.121</v>
      </c>
    </row>
    <row r="90" spans="1:6" x14ac:dyDescent="0.25">
      <c r="A90" s="3">
        <v>89</v>
      </c>
      <c r="B90" s="4" t="s">
        <v>93</v>
      </c>
      <c r="C90" s="4" t="s">
        <v>94</v>
      </c>
      <c r="D90" s="4" t="s">
        <v>8</v>
      </c>
      <c r="E90" s="51">
        <v>101618236</v>
      </c>
      <c r="F90" s="57">
        <v>0.115</v>
      </c>
    </row>
    <row r="91" spans="1:6" x14ac:dyDescent="0.25">
      <c r="A91" s="3">
        <v>90</v>
      </c>
      <c r="B91" s="4" t="s">
        <v>122</v>
      </c>
      <c r="C91" s="4" t="s">
        <v>123</v>
      </c>
      <c r="D91" s="4" t="s">
        <v>8</v>
      </c>
      <c r="E91" s="51">
        <v>305915142</v>
      </c>
      <c r="F91" s="57">
        <v>8.3000000000000004E-2</v>
      </c>
    </row>
    <row r="92" spans="1:6" x14ac:dyDescent="0.25">
      <c r="A92" s="3">
        <v>91</v>
      </c>
      <c r="B92" s="4" t="s">
        <v>25</v>
      </c>
      <c r="C92" s="4" t="s">
        <v>26</v>
      </c>
      <c r="D92" s="4" t="s">
        <v>8</v>
      </c>
      <c r="E92" s="51">
        <v>242962308</v>
      </c>
      <c r="F92" s="57">
        <v>8.2000000000000003E-2</v>
      </c>
    </row>
    <row r="93" spans="1:6" x14ac:dyDescent="0.25">
      <c r="B93" s="5"/>
      <c r="C93" s="6"/>
      <c r="D93" s="6"/>
      <c r="E93" s="10"/>
      <c r="F93" s="58"/>
    </row>
  </sheetData>
  <sortState xmlns:xlrd2="http://schemas.microsoft.com/office/spreadsheetml/2017/richdata2" ref="B2:G94">
    <sortCondition descending="1" ref="F1:F94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95A23-8774-4F9D-85FB-C5CCDCECEBF8}">
  <dimension ref="A1:G93"/>
  <sheetViews>
    <sheetView workbookViewId="0">
      <selection activeCell="J1" sqref="J1"/>
    </sheetView>
  </sheetViews>
  <sheetFormatPr defaultRowHeight="12.75" x14ac:dyDescent="0.2"/>
  <cols>
    <col min="1" max="2" width="9.140625" style="11"/>
    <col min="3" max="3" width="19.28515625" style="11" customWidth="1"/>
    <col min="4" max="4" width="12" style="41" customWidth="1"/>
    <col min="5" max="5" width="15.7109375" style="11" customWidth="1"/>
    <col min="6" max="6" width="10.85546875" style="11" customWidth="1"/>
    <col min="7" max="16384" width="9.140625" style="11"/>
  </cols>
  <sheetData>
    <row r="1" spans="1:7" x14ac:dyDescent="0.2">
      <c r="A1" s="11" t="s">
        <v>662</v>
      </c>
      <c r="B1" s="38" t="s">
        <v>622</v>
      </c>
      <c r="C1" s="38" t="s">
        <v>623</v>
      </c>
      <c r="D1" s="42" t="s">
        <v>626</v>
      </c>
      <c r="E1" s="38" t="s">
        <v>624</v>
      </c>
      <c r="F1" s="38" t="s">
        <v>625</v>
      </c>
    </row>
    <row r="2" spans="1:7" x14ac:dyDescent="0.2">
      <c r="A2" s="11">
        <v>1</v>
      </c>
      <c r="B2" s="11" t="s">
        <v>185</v>
      </c>
      <c r="C2" s="11" t="s">
        <v>186</v>
      </c>
      <c r="D2" s="41" t="s">
        <v>461</v>
      </c>
      <c r="E2" s="11">
        <v>4547296398</v>
      </c>
      <c r="F2" s="11">
        <v>13.6967</v>
      </c>
    </row>
    <row r="3" spans="1:7" x14ac:dyDescent="0.2">
      <c r="A3" s="11">
        <v>2</v>
      </c>
      <c r="B3" s="11" t="s">
        <v>149</v>
      </c>
      <c r="C3" s="11" t="s">
        <v>148</v>
      </c>
      <c r="D3" s="41" t="s">
        <v>463</v>
      </c>
      <c r="E3" s="11">
        <v>4566441248</v>
      </c>
      <c r="F3" s="11">
        <v>7.3056000000000001</v>
      </c>
    </row>
    <row r="4" spans="1:7" x14ac:dyDescent="0.2">
      <c r="A4" s="11">
        <v>3</v>
      </c>
      <c r="B4" s="11" t="s">
        <v>118</v>
      </c>
      <c r="C4" s="11" t="s">
        <v>119</v>
      </c>
      <c r="D4" s="41" t="s">
        <v>466</v>
      </c>
      <c r="E4" s="11">
        <v>4799907051</v>
      </c>
      <c r="F4" s="11">
        <v>6.1005000000000003</v>
      </c>
    </row>
    <row r="5" spans="1:7" x14ac:dyDescent="0.2">
      <c r="A5" s="11">
        <v>4</v>
      </c>
      <c r="B5" s="11" t="s">
        <v>147</v>
      </c>
      <c r="C5" s="11" t="s">
        <v>148</v>
      </c>
      <c r="D5" s="41" t="s">
        <v>469</v>
      </c>
      <c r="E5" s="11">
        <v>2684384823</v>
      </c>
      <c r="F5" s="11">
        <v>4.7919</v>
      </c>
    </row>
    <row r="6" spans="1:7" x14ac:dyDescent="0.2">
      <c r="A6" s="11">
        <v>5</v>
      </c>
      <c r="B6" s="11" t="s">
        <v>21</v>
      </c>
      <c r="C6" s="11" t="s">
        <v>19</v>
      </c>
      <c r="D6" s="41" t="s">
        <v>466</v>
      </c>
      <c r="E6" s="11">
        <v>5156077326</v>
      </c>
      <c r="F6" s="11">
        <v>4.7662000000000004</v>
      </c>
    </row>
    <row r="7" spans="1:7" x14ac:dyDescent="0.2">
      <c r="A7" s="11">
        <v>6</v>
      </c>
      <c r="B7" s="11" t="s">
        <v>14</v>
      </c>
      <c r="C7" s="11" t="s">
        <v>15</v>
      </c>
      <c r="D7" s="41" t="s">
        <v>461</v>
      </c>
      <c r="E7" s="11">
        <v>5901731302</v>
      </c>
      <c r="F7" s="11">
        <v>3.5710000000000002</v>
      </c>
    </row>
    <row r="8" spans="1:7" x14ac:dyDescent="0.2">
      <c r="A8" s="11">
        <v>7</v>
      </c>
      <c r="B8" s="11" t="s">
        <v>0</v>
      </c>
      <c r="C8" s="11" t="s">
        <v>1</v>
      </c>
      <c r="D8" s="41" t="s">
        <v>2</v>
      </c>
      <c r="E8" s="11">
        <v>4386652506</v>
      </c>
      <c r="F8" s="11">
        <v>3.2507000000000001</v>
      </c>
    </row>
    <row r="9" spans="1:7" x14ac:dyDescent="0.2">
      <c r="A9" s="11">
        <v>8</v>
      </c>
      <c r="B9" s="11" t="s">
        <v>79</v>
      </c>
      <c r="C9" s="11" t="s">
        <v>80</v>
      </c>
      <c r="D9" s="41" t="s">
        <v>470</v>
      </c>
      <c r="E9" s="11">
        <v>1447696333</v>
      </c>
      <c r="F9" s="11">
        <v>3.2231999999999998</v>
      </c>
    </row>
    <row r="10" spans="1:7" x14ac:dyDescent="0.2">
      <c r="A10" s="11">
        <v>9</v>
      </c>
      <c r="B10" s="11" t="s">
        <v>16</v>
      </c>
      <c r="C10" s="11" t="s">
        <v>17</v>
      </c>
      <c r="D10" s="41" t="s">
        <v>461</v>
      </c>
      <c r="E10" s="11">
        <v>1420731069</v>
      </c>
      <c r="F10" s="11">
        <v>2.8925000000000001</v>
      </c>
    </row>
    <row r="11" spans="1:7" x14ac:dyDescent="0.2">
      <c r="A11" s="11">
        <v>10</v>
      </c>
      <c r="B11" s="11" t="s">
        <v>162</v>
      </c>
      <c r="C11" s="11" t="s">
        <v>163</v>
      </c>
      <c r="D11" s="41" t="s">
        <v>461</v>
      </c>
      <c r="E11" s="11">
        <v>891243839</v>
      </c>
      <c r="F11" s="11">
        <v>2.6802000000000001</v>
      </c>
    </row>
    <row r="12" spans="1:7" x14ac:dyDescent="0.2">
      <c r="A12" s="11">
        <v>11</v>
      </c>
      <c r="B12" s="11" t="s">
        <v>191</v>
      </c>
      <c r="C12" s="11" t="s">
        <v>192</v>
      </c>
      <c r="D12" s="41" t="s">
        <v>461</v>
      </c>
      <c r="E12" s="11">
        <v>1481593024</v>
      </c>
      <c r="F12" s="11">
        <v>2.1425999999999998</v>
      </c>
    </row>
    <row r="13" spans="1:7" x14ac:dyDescent="0.2">
      <c r="A13" s="11">
        <v>12</v>
      </c>
      <c r="B13" s="11" t="s">
        <v>115</v>
      </c>
      <c r="C13" s="11" t="s">
        <v>116</v>
      </c>
      <c r="D13" s="41" t="s">
        <v>466</v>
      </c>
      <c r="E13" s="11">
        <v>4736060282</v>
      </c>
      <c r="F13" s="11">
        <v>2.1084999999999998</v>
      </c>
    </row>
    <row r="14" spans="1:7" x14ac:dyDescent="0.2">
      <c r="A14" s="11">
        <v>13</v>
      </c>
      <c r="B14" s="11" t="s">
        <v>105</v>
      </c>
      <c r="C14" s="11" t="s">
        <v>106</v>
      </c>
      <c r="D14" s="41" t="s">
        <v>461</v>
      </c>
      <c r="E14" s="11">
        <v>4454740939</v>
      </c>
      <c r="F14" s="11">
        <v>1.6760999999999999</v>
      </c>
    </row>
    <row r="15" spans="1:7" x14ac:dyDescent="0.2">
      <c r="A15" s="11">
        <v>14</v>
      </c>
      <c r="B15" s="11" t="s">
        <v>120</v>
      </c>
      <c r="C15" s="11" t="s">
        <v>121</v>
      </c>
      <c r="D15" s="41" t="s">
        <v>461</v>
      </c>
      <c r="E15" s="11">
        <v>1134986483</v>
      </c>
      <c r="F15" s="11">
        <v>1.5831999999999999</v>
      </c>
    </row>
    <row r="16" spans="1:7" x14ac:dyDescent="0.2">
      <c r="A16" s="11">
        <v>15</v>
      </c>
      <c r="B16" s="11" t="s">
        <v>31</v>
      </c>
      <c r="C16" s="11" t="s">
        <v>32</v>
      </c>
      <c r="D16" s="41" t="s">
        <v>465</v>
      </c>
      <c r="E16" s="11">
        <v>1225470424</v>
      </c>
      <c r="F16" s="11">
        <v>1.5246</v>
      </c>
      <c r="G16" s="11">
        <f>SUM(F2:F16)</f>
        <v>61.313499999999991</v>
      </c>
    </row>
    <row r="17" spans="1:7" x14ac:dyDescent="0.2">
      <c r="A17" s="11">
        <v>16</v>
      </c>
      <c r="B17" s="11" t="s">
        <v>160</v>
      </c>
      <c r="C17" s="11" t="s">
        <v>161</v>
      </c>
      <c r="D17" s="41" t="s">
        <v>461</v>
      </c>
      <c r="E17" s="11">
        <v>932048593</v>
      </c>
      <c r="F17" s="11">
        <v>1.5169999999999999</v>
      </c>
    </row>
    <row r="18" spans="1:7" x14ac:dyDescent="0.2">
      <c r="A18" s="11">
        <v>17</v>
      </c>
      <c r="B18" s="11" t="s">
        <v>171</v>
      </c>
      <c r="C18" s="11" t="s">
        <v>172</v>
      </c>
      <c r="D18" s="41" t="s">
        <v>461</v>
      </c>
      <c r="E18" s="11">
        <v>726823001</v>
      </c>
      <c r="F18" s="11">
        <v>1.5142</v>
      </c>
    </row>
    <row r="19" spans="1:7" x14ac:dyDescent="0.2">
      <c r="A19" s="11">
        <v>18</v>
      </c>
      <c r="B19" s="11" t="s">
        <v>156</v>
      </c>
      <c r="C19" s="11" t="s">
        <v>157</v>
      </c>
      <c r="D19" s="41" t="s">
        <v>461</v>
      </c>
      <c r="E19" s="11">
        <v>1196069386</v>
      </c>
      <c r="F19" s="11">
        <v>1.2910999999999999</v>
      </c>
    </row>
    <row r="20" spans="1:7" x14ac:dyDescent="0.2">
      <c r="A20" s="11">
        <v>19</v>
      </c>
      <c r="B20" s="11" t="s">
        <v>91</v>
      </c>
      <c r="C20" s="11" t="s">
        <v>92</v>
      </c>
      <c r="D20" s="41" t="s">
        <v>461</v>
      </c>
      <c r="E20" s="11">
        <v>1100513485</v>
      </c>
      <c r="F20" s="11">
        <v>1.2848999999999999</v>
      </c>
    </row>
    <row r="21" spans="1:7" x14ac:dyDescent="0.2">
      <c r="A21" s="11">
        <v>20</v>
      </c>
      <c r="B21" s="11" t="s">
        <v>97</v>
      </c>
      <c r="C21" s="11" t="s">
        <v>98</v>
      </c>
      <c r="D21" s="41" t="s">
        <v>462</v>
      </c>
      <c r="E21" s="11">
        <v>1111956242</v>
      </c>
      <c r="F21" s="11">
        <v>1.2811999999999999</v>
      </c>
      <c r="G21" s="11">
        <f>SUM(F2:F21)</f>
        <v>68.201899999999981</v>
      </c>
    </row>
    <row r="22" spans="1:7" x14ac:dyDescent="0.2">
      <c r="A22" s="11">
        <v>21</v>
      </c>
      <c r="B22" s="11" t="s">
        <v>130</v>
      </c>
      <c r="C22" s="11" t="s">
        <v>131</v>
      </c>
      <c r="D22" s="41" t="s">
        <v>461</v>
      </c>
      <c r="E22" s="11">
        <v>970515779</v>
      </c>
      <c r="F22" s="11">
        <v>1.2403999999999999</v>
      </c>
    </row>
    <row r="23" spans="1:7" x14ac:dyDescent="0.2">
      <c r="A23" s="11">
        <v>22</v>
      </c>
      <c r="B23" s="11" t="s">
        <v>87</v>
      </c>
      <c r="C23" s="11" t="s">
        <v>88</v>
      </c>
      <c r="D23" s="41" t="s">
        <v>461</v>
      </c>
      <c r="E23" s="11">
        <v>1561135009</v>
      </c>
      <c r="F23" s="11">
        <v>1.1919</v>
      </c>
    </row>
    <row r="24" spans="1:7" x14ac:dyDescent="0.2">
      <c r="A24" s="11">
        <v>23</v>
      </c>
      <c r="B24" s="11" t="s">
        <v>158</v>
      </c>
      <c r="C24" s="11" t="s">
        <v>159</v>
      </c>
      <c r="D24" s="41" t="s">
        <v>461</v>
      </c>
      <c r="E24" s="11">
        <v>1215642613</v>
      </c>
      <c r="F24" s="11">
        <v>1.179</v>
      </c>
    </row>
    <row r="25" spans="1:7" x14ac:dyDescent="0.2">
      <c r="A25" s="11">
        <v>24</v>
      </c>
      <c r="B25" s="11" t="s">
        <v>18</v>
      </c>
      <c r="C25" s="11" t="s">
        <v>19</v>
      </c>
      <c r="D25" s="41" t="s">
        <v>618</v>
      </c>
      <c r="E25" s="11">
        <v>1508883586</v>
      </c>
      <c r="F25" s="11">
        <v>1.1506000000000001</v>
      </c>
    </row>
    <row r="26" spans="1:7" x14ac:dyDescent="0.2">
      <c r="A26" s="11">
        <v>25</v>
      </c>
      <c r="B26" s="11" t="s">
        <v>152</v>
      </c>
      <c r="C26" s="11" t="s">
        <v>153</v>
      </c>
      <c r="D26" s="41" t="s">
        <v>461</v>
      </c>
      <c r="E26" s="11">
        <v>839159130</v>
      </c>
      <c r="F26" s="11">
        <v>1.1147</v>
      </c>
    </row>
    <row r="27" spans="1:7" x14ac:dyDescent="0.2">
      <c r="A27" s="11">
        <v>26</v>
      </c>
      <c r="B27" s="11" t="s">
        <v>65</v>
      </c>
      <c r="C27" s="11" t="s">
        <v>66</v>
      </c>
      <c r="D27" s="41" t="s">
        <v>461</v>
      </c>
      <c r="E27" s="11">
        <v>1171063698</v>
      </c>
      <c r="F27" s="11">
        <v>1.1037999999999999</v>
      </c>
    </row>
    <row r="28" spans="1:7" x14ac:dyDescent="0.2">
      <c r="A28" s="11">
        <v>27</v>
      </c>
      <c r="B28" s="11" t="s">
        <v>218</v>
      </c>
      <c r="C28" s="11" t="s">
        <v>219</v>
      </c>
      <c r="D28" s="41" t="s">
        <v>461</v>
      </c>
      <c r="E28" s="11">
        <v>1114442976</v>
      </c>
      <c r="F28" s="11">
        <v>1.004</v>
      </c>
    </row>
    <row r="29" spans="1:7" x14ac:dyDescent="0.2">
      <c r="A29" s="11">
        <v>28</v>
      </c>
      <c r="B29" s="11" t="s">
        <v>23</v>
      </c>
      <c r="C29" s="11" t="s">
        <v>24</v>
      </c>
      <c r="D29" s="41" t="s">
        <v>461</v>
      </c>
      <c r="E29" s="11">
        <v>671682536</v>
      </c>
      <c r="F29" s="11">
        <v>0.91510000000000002</v>
      </c>
    </row>
    <row r="30" spans="1:7" x14ac:dyDescent="0.2">
      <c r="A30" s="11">
        <v>29</v>
      </c>
      <c r="B30" s="11" t="s">
        <v>189</v>
      </c>
      <c r="C30" s="11" t="s">
        <v>190</v>
      </c>
      <c r="D30" s="41" t="s">
        <v>621</v>
      </c>
      <c r="E30" s="11">
        <v>429455552</v>
      </c>
      <c r="F30" s="11">
        <v>0.85399999999999998</v>
      </c>
    </row>
    <row r="31" spans="1:7" x14ac:dyDescent="0.2">
      <c r="A31" s="11">
        <v>30</v>
      </c>
      <c r="B31" s="11" t="s">
        <v>109</v>
      </c>
      <c r="C31" s="11" t="s">
        <v>110</v>
      </c>
      <c r="D31" s="41" t="s">
        <v>461</v>
      </c>
      <c r="E31" s="11">
        <v>400842480</v>
      </c>
      <c r="F31" s="11">
        <v>0.8397</v>
      </c>
    </row>
    <row r="32" spans="1:7" x14ac:dyDescent="0.2">
      <c r="A32" s="11">
        <v>31</v>
      </c>
      <c r="B32" s="11" t="s">
        <v>52</v>
      </c>
      <c r="C32" s="11" t="s">
        <v>53</v>
      </c>
      <c r="D32" s="41" t="s">
        <v>462</v>
      </c>
      <c r="E32" s="11">
        <v>1442098974</v>
      </c>
      <c r="F32" s="11">
        <v>0.83599999999999997</v>
      </c>
    </row>
    <row r="33" spans="1:6" x14ac:dyDescent="0.2">
      <c r="A33" s="11">
        <v>32</v>
      </c>
      <c r="B33" s="11" t="s">
        <v>39</v>
      </c>
      <c r="C33" s="11" t="s">
        <v>40</v>
      </c>
      <c r="D33" s="41" t="s">
        <v>461</v>
      </c>
      <c r="E33" s="11">
        <v>1076512610</v>
      </c>
      <c r="F33" s="11">
        <v>0.8276</v>
      </c>
    </row>
    <row r="34" spans="1:6" x14ac:dyDescent="0.2">
      <c r="A34" s="11">
        <v>33</v>
      </c>
      <c r="B34" s="11" t="s">
        <v>167</v>
      </c>
      <c r="C34" s="11" t="s">
        <v>168</v>
      </c>
      <c r="D34" s="41" t="s">
        <v>461</v>
      </c>
      <c r="E34" s="11">
        <v>340002999</v>
      </c>
      <c r="F34" s="11">
        <v>0.80369999999999997</v>
      </c>
    </row>
    <row r="35" spans="1:6" x14ac:dyDescent="0.2">
      <c r="A35" s="11">
        <v>34</v>
      </c>
      <c r="B35" s="11" t="s">
        <v>48</v>
      </c>
      <c r="C35" s="11" t="s">
        <v>49</v>
      </c>
      <c r="D35" s="41" t="s">
        <v>461</v>
      </c>
      <c r="E35" s="11">
        <v>1115681435</v>
      </c>
      <c r="F35" s="11">
        <v>0.74550000000000005</v>
      </c>
    </row>
    <row r="36" spans="1:6" x14ac:dyDescent="0.2">
      <c r="A36" s="11">
        <v>35</v>
      </c>
      <c r="B36" s="11" t="s">
        <v>178</v>
      </c>
      <c r="C36" s="11" t="s">
        <v>179</v>
      </c>
      <c r="D36" s="41" t="s">
        <v>461</v>
      </c>
      <c r="E36" s="11">
        <v>519851955</v>
      </c>
      <c r="F36" s="11">
        <v>0.72089999999999999</v>
      </c>
    </row>
    <row r="37" spans="1:6" x14ac:dyDescent="0.2">
      <c r="A37" s="11">
        <v>36</v>
      </c>
      <c r="B37" s="11" t="s">
        <v>9</v>
      </c>
      <c r="C37" s="11" t="s">
        <v>10</v>
      </c>
      <c r="D37" s="41" t="s">
        <v>461</v>
      </c>
      <c r="E37" s="11">
        <v>795949801</v>
      </c>
      <c r="F37" s="11">
        <v>0.72009999999999996</v>
      </c>
    </row>
    <row r="38" spans="1:6" x14ac:dyDescent="0.2">
      <c r="A38" s="11">
        <v>37</v>
      </c>
      <c r="B38" s="11" t="s">
        <v>180</v>
      </c>
      <c r="C38" s="11" t="s">
        <v>181</v>
      </c>
      <c r="D38" s="41" t="s">
        <v>461</v>
      </c>
      <c r="E38" s="11">
        <v>1087887681</v>
      </c>
      <c r="F38" s="11">
        <v>0.71340000000000003</v>
      </c>
    </row>
    <row r="39" spans="1:6" x14ac:dyDescent="0.2">
      <c r="A39" s="11">
        <v>38</v>
      </c>
      <c r="B39" s="11" t="s">
        <v>82</v>
      </c>
      <c r="C39" s="11" t="s">
        <v>80</v>
      </c>
      <c r="D39" s="41" t="s">
        <v>471</v>
      </c>
      <c r="E39" s="11">
        <v>279941393</v>
      </c>
      <c r="F39" s="11">
        <v>0.64190000000000003</v>
      </c>
    </row>
    <row r="40" spans="1:6" x14ac:dyDescent="0.2">
      <c r="A40" s="11">
        <v>39</v>
      </c>
      <c r="B40" s="11" t="s">
        <v>124</v>
      </c>
      <c r="C40" s="11" t="s">
        <v>125</v>
      </c>
      <c r="D40" s="41" t="s">
        <v>465</v>
      </c>
      <c r="E40" s="11">
        <v>701899756</v>
      </c>
      <c r="F40" s="11">
        <v>0.62360000000000004</v>
      </c>
    </row>
    <row r="41" spans="1:6" x14ac:dyDescent="0.2">
      <c r="A41" s="11">
        <v>40</v>
      </c>
      <c r="B41" s="11" t="s">
        <v>143</v>
      </c>
      <c r="C41" s="11" t="s">
        <v>144</v>
      </c>
      <c r="D41" s="41" t="s">
        <v>461</v>
      </c>
      <c r="E41" s="11">
        <v>835961011</v>
      </c>
      <c r="F41" s="11">
        <v>0.59540000000000004</v>
      </c>
    </row>
    <row r="42" spans="1:6" x14ac:dyDescent="0.2">
      <c r="A42" s="11">
        <v>41</v>
      </c>
      <c r="B42" s="11" t="s">
        <v>134</v>
      </c>
      <c r="C42" s="11" t="s">
        <v>135</v>
      </c>
      <c r="D42" s="41" t="s">
        <v>461</v>
      </c>
      <c r="E42" s="11">
        <v>2874188573</v>
      </c>
      <c r="F42" s="11">
        <v>0.58609999999999995</v>
      </c>
    </row>
    <row r="43" spans="1:6" x14ac:dyDescent="0.2">
      <c r="A43" s="11">
        <v>42</v>
      </c>
      <c r="B43" s="11" t="s">
        <v>60</v>
      </c>
      <c r="C43" s="11" t="s">
        <v>61</v>
      </c>
      <c r="D43" s="41" t="s">
        <v>468</v>
      </c>
      <c r="E43" s="11">
        <v>1563365506</v>
      </c>
      <c r="F43" s="11">
        <v>0.52759999999999996</v>
      </c>
    </row>
    <row r="44" spans="1:6" x14ac:dyDescent="0.2">
      <c r="A44" s="11">
        <v>43</v>
      </c>
      <c r="B44" s="11" t="s">
        <v>89</v>
      </c>
      <c r="C44" s="11" t="s">
        <v>90</v>
      </c>
      <c r="D44" s="41" t="s">
        <v>619</v>
      </c>
      <c r="E44" s="11">
        <v>248477689</v>
      </c>
      <c r="F44" s="11">
        <v>0.51929999999999998</v>
      </c>
    </row>
    <row r="45" spans="1:6" x14ac:dyDescent="0.2">
      <c r="A45" s="11">
        <v>44</v>
      </c>
      <c r="B45" s="11" t="s">
        <v>63</v>
      </c>
      <c r="C45" s="11" t="s">
        <v>64</v>
      </c>
      <c r="D45" s="41" t="s">
        <v>461</v>
      </c>
      <c r="E45" s="11">
        <v>528743156</v>
      </c>
      <c r="F45" s="11">
        <v>0.51500000000000001</v>
      </c>
    </row>
    <row r="46" spans="1:6" x14ac:dyDescent="0.2">
      <c r="A46" s="11">
        <v>45</v>
      </c>
      <c r="B46" s="11" t="s">
        <v>164</v>
      </c>
      <c r="C46" s="11" t="s">
        <v>165</v>
      </c>
      <c r="D46" s="41" t="s">
        <v>166</v>
      </c>
      <c r="E46" s="11">
        <v>355642848</v>
      </c>
      <c r="F46" s="11">
        <v>0.50290000000000001</v>
      </c>
    </row>
    <row r="47" spans="1:6" x14ac:dyDescent="0.2">
      <c r="A47" s="11">
        <v>46</v>
      </c>
      <c r="B47" s="11" t="s">
        <v>77</v>
      </c>
      <c r="C47" s="11" t="s">
        <v>78</v>
      </c>
      <c r="D47" s="41" t="s">
        <v>461</v>
      </c>
      <c r="E47" s="11">
        <v>255208461</v>
      </c>
      <c r="F47" s="11">
        <v>0.49569999999999997</v>
      </c>
    </row>
    <row r="48" spans="1:6" x14ac:dyDescent="0.2">
      <c r="A48" s="11">
        <v>47</v>
      </c>
      <c r="B48" s="11" t="s">
        <v>83</v>
      </c>
      <c r="C48" s="11" t="s">
        <v>84</v>
      </c>
      <c r="D48" s="41" t="s">
        <v>461</v>
      </c>
      <c r="E48" s="11">
        <v>734632205</v>
      </c>
      <c r="F48" s="11">
        <v>0.46939999999999998</v>
      </c>
    </row>
    <row r="49" spans="1:6" x14ac:dyDescent="0.2">
      <c r="A49" s="11">
        <v>48</v>
      </c>
      <c r="B49" s="11" t="s">
        <v>176</v>
      </c>
      <c r="C49" s="11" t="s">
        <v>177</v>
      </c>
      <c r="D49" s="41" t="s">
        <v>461</v>
      </c>
      <c r="E49" s="11">
        <v>808436195</v>
      </c>
      <c r="F49" s="11">
        <v>0.46129999999999999</v>
      </c>
    </row>
    <row r="50" spans="1:6" x14ac:dyDescent="0.2">
      <c r="A50" s="11">
        <v>49</v>
      </c>
      <c r="B50" s="11" t="s">
        <v>6</v>
      </c>
      <c r="C50" s="11" t="s">
        <v>7</v>
      </c>
      <c r="D50" s="41" t="s">
        <v>461</v>
      </c>
      <c r="E50" s="11">
        <v>596086291</v>
      </c>
      <c r="F50" s="11">
        <v>0.4425</v>
      </c>
    </row>
    <row r="51" spans="1:6" x14ac:dyDescent="0.2">
      <c r="A51" s="11">
        <v>50</v>
      </c>
      <c r="B51" s="11" t="s">
        <v>173</v>
      </c>
      <c r="C51" s="11" t="s">
        <v>174</v>
      </c>
      <c r="D51" s="41" t="s">
        <v>465</v>
      </c>
      <c r="E51" s="11">
        <v>218568234</v>
      </c>
      <c r="F51" s="11">
        <v>0.44069999999999998</v>
      </c>
    </row>
    <row r="52" spans="1:6" x14ac:dyDescent="0.2">
      <c r="A52" s="11">
        <v>51</v>
      </c>
      <c r="B52" s="11" t="s">
        <v>41</v>
      </c>
      <c r="C52" s="11" t="s">
        <v>42</v>
      </c>
      <c r="D52" s="41" t="s">
        <v>467</v>
      </c>
      <c r="E52" s="11">
        <v>265212486</v>
      </c>
      <c r="F52" s="11">
        <v>0.41270000000000001</v>
      </c>
    </row>
    <row r="53" spans="1:6" x14ac:dyDescent="0.2">
      <c r="A53" s="11">
        <v>52</v>
      </c>
      <c r="B53" s="11" t="s">
        <v>67</v>
      </c>
      <c r="C53" s="11" t="s">
        <v>68</v>
      </c>
      <c r="D53" s="41" t="s">
        <v>2</v>
      </c>
      <c r="E53" s="11">
        <v>589695175</v>
      </c>
      <c r="F53" s="11">
        <v>0.37880000000000003</v>
      </c>
    </row>
    <row r="54" spans="1:6" x14ac:dyDescent="0.2">
      <c r="A54" s="11">
        <v>53</v>
      </c>
      <c r="B54" s="11" t="s">
        <v>208</v>
      </c>
      <c r="C54" s="11" t="s">
        <v>209</v>
      </c>
      <c r="D54" s="41" t="s">
        <v>461</v>
      </c>
      <c r="E54" s="11">
        <v>200453863</v>
      </c>
      <c r="F54" s="11">
        <v>0.35759999999999997</v>
      </c>
    </row>
    <row r="55" spans="1:6" x14ac:dyDescent="0.2">
      <c r="A55" s="11">
        <v>54</v>
      </c>
      <c r="B55" s="11" t="s">
        <v>44</v>
      </c>
      <c r="C55" s="11" t="s">
        <v>45</v>
      </c>
      <c r="D55" s="41" t="s">
        <v>461</v>
      </c>
      <c r="E55" s="11">
        <v>828273884</v>
      </c>
      <c r="F55" s="11">
        <v>0.34250000000000003</v>
      </c>
    </row>
    <row r="56" spans="1:6" x14ac:dyDescent="0.2">
      <c r="A56" s="11">
        <v>55</v>
      </c>
      <c r="B56" s="11" t="s">
        <v>169</v>
      </c>
      <c r="C56" s="11" t="s">
        <v>170</v>
      </c>
      <c r="D56" s="41" t="s">
        <v>465</v>
      </c>
      <c r="E56" s="11">
        <v>284059601</v>
      </c>
      <c r="F56" s="11">
        <v>0.3392</v>
      </c>
    </row>
    <row r="57" spans="1:6" x14ac:dyDescent="0.2">
      <c r="A57" s="11">
        <v>56</v>
      </c>
      <c r="B57" s="11" t="s">
        <v>101</v>
      </c>
      <c r="C57" s="11" t="s">
        <v>102</v>
      </c>
      <c r="D57" s="41" t="s">
        <v>462</v>
      </c>
      <c r="E57" s="11">
        <v>686077578</v>
      </c>
      <c r="F57" s="11">
        <v>0.33500000000000002</v>
      </c>
    </row>
    <row r="58" spans="1:6" x14ac:dyDescent="0.2">
      <c r="A58" s="11">
        <v>57</v>
      </c>
      <c r="B58" s="11" t="s">
        <v>56</v>
      </c>
      <c r="C58" s="11" t="s">
        <v>57</v>
      </c>
      <c r="D58" s="41" t="s">
        <v>461</v>
      </c>
      <c r="E58" s="11">
        <v>187732538</v>
      </c>
      <c r="F58" s="11">
        <v>0.32140000000000002</v>
      </c>
    </row>
    <row r="59" spans="1:6" x14ac:dyDescent="0.2">
      <c r="A59" s="11">
        <v>58</v>
      </c>
      <c r="B59" s="11" t="s">
        <v>214</v>
      </c>
      <c r="C59" s="11" t="s">
        <v>215</v>
      </c>
      <c r="D59" s="41" t="s">
        <v>461</v>
      </c>
      <c r="E59" s="11">
        <v>490736222</v>
      </c>
      <c r="F59" s="11">
        <v>0.31569999999999998</v>
      </c>
    </row>
    <row r="60" spans="1:6" x14ac:dyDescent="0.2">
      <c r="A60" s="11">
        <v>59</v>
      </c>
      <c r="B60" s="11" t="s">
        <v>140</v>
      </c>
      <c r="C60" s="11" t="s">
        <v>141</v>
      </c>
      <c r="D60" s="41" t="s">
        <v>469</v>
      </c>
      <c r="E60" s="11">
        <v>268145328</v>
      </c>
      <c r="F60" s="11">
        <v>0.31430000000000002</v>
      </c>
    </row>
    <row r="61" spans="1:6" x14ac:dyDescent="0.2">
      <c r="A61" s="11">
        <v>60</v>
      </c>
      <c r="B61" s="11" t="s">
        <v>50</v>
      </c>
      <c r="C61" s="11" t="s">
        <v>51</v>
      </c>
      <c r="D61" s="41" t="s">
        <v>461</v>
      </c>
      <c r="E61" s="11">
        <v>1095401258</v>
      </c>
      <c r="F61" s="11">
        <v>0.27939999999999998</v>
      </c>
    </row>
    <row r="62" spans="1:6" x14ac:dyDescent="0.2">
      <c r="A62" s="11">
        <v>61</v>
      </c>
      <c r="B62" s="11" t="s">
        <v>204</v>
      </c>
      <c r="C62" s="11" t="s">
        <v>205</v>
      </c>
      <c r="D62" s="41" t="s">
        <v>463</v>
      </c>
      <c r="E62" s="11">
        <v>1246412032</v>
      </c>
      <c r="F62" s="11">
        <v>0.27439999999999998</v>
      </c>
    </row>
    <row r="63" spans="1:6" x14ac:dyDescent="0.2">
      <c r="A63" s="11">
        <v>62</v>
      </c>
      <c r="B63" s="11" t="s">
        <v>85</v>
      </c>
      <c r="C63" s="11" t="s">
        <v>86</v>
      </c>
      <c r="D63" s="41" t="s">
        <v>461</v>
      </c>
      <c r="E63" s="11">
        <v>246028184</v>
      </c>
      <c r="F63" s="11">
        <v>0.26939999999999997</v>
      </c>
    </row>
    <row r="64" spans="1:6" x14ac:dyDescent="0.2">
      <c r="A64" s="11">
        <v>63</v>
      </c>
      <c r="B64" s="11" t="s">
        <v>197</v>
      </c>
      <c r="C64" s="11" t="s">
        <v>198</v>
      </c>
      <c r="D64" s="41" t="s">
        <v>461</v>
      </c>
      <c r="E64" s="11">
        <v>60358029</v>
      </c>
      <c r="F64" s="11">
        <v>0.26829999999999998</v>
      </c>
    </row>
    <row r="65" spans="1:6" x14ac:dyDescent="0.2">
      <c r="A65" s="11">
        <v>64</v>
      </c>
      <c r="B65" s="11" t="s">
        <v>35</v>
      </c>
      <c r="C65" s="11" t="s">
        <v>36</v>
      </c>
      <c r="D65" s="41" t="s">
        <v>462</v>
      </c>
      <c r="E65" s="11">
        <v>251025058</v>
      </c>
      <c r="F65" s="11">
        <v>0.26040000000000002</v>
      </c>
    </row>
    <row r="66" spans="1:6" x14ac:dyDescent="0.2">
      <c r="A66" s="11">
        <v>65</v>
      </c>
      <c r="B66" s="11" t="s">
        <v>11</v>
      </c>
      <c r="C66" s="11" t="s">
        <v>12</v>
      </c>
      <c r="D66" s="41" t="s">
        <v>463</v>
      </c>
      <c r="E66" s="11">
        <v>327646296</v>
      </c>
      <c r="F66" s="11">
        <v>0.2525</v>
      </c>
    </row>
    <row r="67" spans="1:6" x14ac:dyDescent="0.2">
      <c r="A67" s="11">
        <v>66</v>
      </c>
      <c r="B67" s="11" t="s">
        <v>95</v>
      </c>
      <c r="C67" s="11" t="s">
        <v>96</v>
      </c>
      <c r="D67" s="41" t="s">
        <v>461</v>
      </c>
      <c r="E67" s="11">
        <v>303383609</v>
      </c>
      <c r="F67" s="11">
        <v>0.24179999999999999</v>
      </c>
    </row>
    <row r="68" spans="1:6" x14ac:dyDescent="0.2">
      <c r="A68" s="11">
        <v>67</v>
      </c>
      <c r="B68" s="11" t="s">
        <v>187</v>
      </c>
      <c r="C68" s="11" t="s">
        <v>188</v>
      </c>
      <c r="D68" s="41" t="s">
        <v>461</v>
      </c>
      <c r="E68" s="11">
        <v>1576975642</v>
      </c>
      <c r="F68" s="11">
        <v>0.23400000000000001</v>
      </c>
    </row>
    <row r="69" spans="1:6" x14ac:dyDescent="0.2">
      <c r="A69" s="11">
        <v>68</v>
      </c>
      <c r="B69" s="11" t="s">
        <v>54</v>
      </c>
      <c r="C69" s="11" t="s">
        <v>55</v>
      </c>
      <c r="D69" s="41" t="s">
        <v>461</v>
      </c>
      <c r="E69" s="11">
        <v>1820405422</v>
      </c>
      <c r="F69" s="11">
        <v>0.22389999999999999</v>
      </c>
    </row>
    <row r="70" spans="1:6" x14ac:dyDescent="0.2">
      <c r="A70" s="11">
        <v>69</v>
      </c>
      <c r="B70" s="11" t="s">
        <v>210</v>
      </c>
      <c r="C70" s="11" t="s">
        <v>211</v>
      </c>
      <c r="D70" s="41" t="s">
        <v>461</v>
      </c>
      <c r="E70" s="11">
        <v>96272020</v>
      </c>
      <c r="F70" s="11">
        <v>0.22389999999999999</v>
      </c>
    </row>
    <row r="71" spans="1:6" x14ac:dyDescent="0.2">
      <c r="A71" s="11">
        <v>70</v>
      </c>
      <c r="B71" s="11" t="s">
        <v>71</v>
      </c>
      <c r="C71" s="11" t="s">
        <v>72</v>
      </c>
      <c r="D71" s="41" t="s">
        <v>461</v>
      </c>
      <c r="E71" s="11">
        <v>274142301</v>
      </c>
      <c r="F71" s="11">
        <v>0.21429999999999999</v>
      </c>
    </row>
    <row r="72" spans="1:6" x14ac:dyDescent="0.2">
      <c r="A72" s="11">
        <v>71</v>
      </c>
      <c r="B72" s="11" t="s">
        <v>182</v>
      </c>
      <c r="C72" s="11" t="s">
        <v>183</v>
      </c>
      <c r="D72" s="41" t="s">
        <v>467</v>
      </c>
      <c r="E72" s="11">
        <v>515014562</v>
      </c>
      <c r="F72" s="11">
        <v>0.20380000000000001</v>
      </c>
    </row>
    <row r="73" spans="1:6" x14ac:dyDescent="0.2">
      <c r="A73" s="11">
        <v>72</v>
      </c>
      <c r="B73" s="11" t="s">
        <v>3</v>
      </c>
      <c r="C73" s="11" t="s">
        <v>4</v>
      </c>
      <c r="D73" s="41" t="s">
        <v>462</v>
      </c>
      <c r="E73" s="11">
        <v>202765994</v>
      </c>
      <c r="F73" s="11">
        <v>0.20200000000000001</v>
      </c>
    </row>
    <row r="74" spans="1:6" x14ac:dyDescent="0.2">
      <c r="A74" s="11">
        <v>73</v>
      </c>
      <c r="B74" s="11" t="s">
        <v>136</v>
      </c>
      <c r="C74" s="11" t="s">
        <v>137</v>
      </c>
      <c r="D74" s="41" t="s">
        <v>461</v>
      </c>
      <c r="E74" s="11">
        <v>316724584</v>
      </c>
      <c r="F74" s="11">
        <v>0.20150000000000001</v>
      </c>
    </row>
    <row r="75" spans="1:6" x14ac:dyDescent="0.2">
      <c r="A75" s="11">
        <v>74</v>
      </c>
      <c r="B75" s="11" t="s">
        <v>212</v>
      </c>
      <c r="C75" s="11" t="s">
        <v>213</v>
      </c>
      <c r="D75" s="41" t="s">
        <v>461</v>
      </c>
      <c r="E75" s="11">
        <v>143294210</v>
      </c>
      <c r="F75" s="11">
        <v>0.1948</v>
      </c>
    </row>
    <row r="76" spans="1:6" x14ac:dyDescent="0.2">
      <c r="A76" s="11">
        <v>75</v>
      </c>
      <c r="B76" s="11" t="s">
        <v>132</v>
      </c>
      <c r="C76" s="11" t="s">
        <v>133</v>
      </c>
      <c r="D76" s="41" t="s">
        <v>461</v>
      </c>
      <c r="E76" s="11">
        <v>419466860</v>
      </c>
      <c r="F76" s="11">
        <v>0.18990000000000001</v>
      </c>
    </row>
    <row r="77" spans="1:6" x14ac:dyDescent="0.2">
      <c r="A77" s="11">
        <v>76</v>
      </c>
      <c r="B77" s="11" t="s">
        <v>199</v>
      </c>
      <c r="C77" s="11" t="s">
        <v>200</v>
      </c>
      <c r="D77" s="41" t="s">
        <v>469</v>
      </c>
      <c r="E77" s="11">
        <v>1110550596</v>
      </c>
      <c r="F77" s="11">
        <v>0.18920000000000001</v>
      </c>
    </row>
    <row r="78" spans="1:6" x14ac:dyDescent="0.2">
      <c r="A78" s="11">
        <v>77</v>
      </c>
      <c r="B78" s="11" t="s">
        <v>25</v>
      </c>
      <c r="C78" s="11" t="s">
        <v>26</v>
      </c>
      <c r="D78" s="41" t="s">
        <v>461</v>
      </c>
      <c r="E78" s="11">
        <v>260409710</v>
      </c>
      <c r="F78" s="11">
        <v>0.18720000000000001</v>
      </c>
    </row>
    <row r="79" spans="1:6" x14ac:dyDescent="0.2">
      <c r="A79" s="11">
        <v>78</v>
      </c>
      <c r="B79" s="11" t="s">
        <v>201</v>
      </c>
      <c r="C79" s="11" t="s">
        <v>202</v>
      </c>
      <c r="D79" s="41" t="s">
        <v>620</v>
      </c>
      <c r="E79" s="11">
        <v>179981368</v>
      </c>
      <c r="F79" s="11">
        <v>0.17860000000000001</v>
      </c>
    </row>
    <row r="80" spans="1:6" x14ac:dyDescent="0.2">
      <c r="A80" s="11">
        <v>79</v>
      </c>
      <c r="B80" s="11" t="s">
        <v>193</v>
      </c>
      <c r="C80" s="11" t="s">
        <v>194</v>
      </c>
      <c r="D80" s="41" t="s">
        <v>461</v>
      </c>
      <c r="E80" s="11">
        <v>296015511</v>
      </c>
      <c r="F80" s="11">
        <v>0.1769</v>
      </c>
    </row>
    <row r="81" spans="1:6" x14ac:dyDescent="0.2">
      <c r="A81" s="11">
        <v>80</v>
      </c>
      <c r="B81" s="11" t="s">
        <v>138</v>
      </c>
      <c r="C81" s="11" t="s">
        <v>139</v>
      </c>
      <c r="D81" s="41" t="s">
        <v>461</v>
      </c>
      <c r="E81" s="11">
        <v>298436955</v>
      </c>
      <c r="F81" s="11">
        <v>0.17069999999999999</v>
      </c>
    </row>
    <row r="82" spans="1:6" x14ac:dyDescent="0.2">
      <c r="A82" s="11">
        <v>81</v>
      </c>
      <c r="B82" s="11" t="s">
        <v>145</v>
      </c>
      <c r="C82" s="11" t="s">
        <v>146</v>
      </c>
      <c r="D82" s="41" t="s">
        <v>461</v>
      </c>
      <c r="E82" s="11">
        <v>157889627</v>
      </c>
      <c r="F82" s="11">
        <v>0.16320000000000001</v>
      </c>
    </row>
    <row r="83" spans="1:6" x14ac:dyDescent="0.2">
      <c r="A83" s="11">
        <v>82</v>
      </c>
      <c r="B83" s="11" t="s">
        <v>150</v>
      </c>
      <c r="C83" s="11" t="s">
        <v>151</v>
      </c>
      <c r="D83" s="41" t="s">
        <v>461</v>
      </c>
      <c r="E83" s="11">
        <v>335672329</v>
      </c>
      <c r="F83" s="11">
        <v>0.16309999999999999</v>
      </c>
    </row>
    <row r="84" spans="1:6" x14ac:dyDescent="0.2">
      <c r="A84" s="11">
        <v>83</v>
      </c>
      <c r="B84" s="11" t="s">
        <v>73</v>
      </c>
      <c r="C84" s="11" t="s">
        <v>74</v>
      </c>
      <c r="D84" s="41" t="s">
        <v>461</v>
      </c>
      <c r="E84" s="11">
        <v>274863424</v>
      </c>
      <c r="F84" s="11">
        <v>0.1384</v>
      </c>
    </row>
    <row r="85" spans="1:6" x14ac:dyDescent="0.2">
      <c r="A85" s="11">
        <v>84</v>
      </c>
      <c r="B85" s="11" t="s">
        <v>33</v>
      </c>
      <c r="C85" s="11" t="s">
        <v>34</v>
      </c>
      <c r="D85" s="41" t="s">
        <v>462</v>
      </c>
      <c r="E85" s="11">
        <v>341549703</v>
      </c>
      <c r="F85" s="11">
        <v>0.1303</v>
      </c>
    </row>
    <row r="86" spans="1:6" x14ac:dyDescent="0.2">
      <c r="A86" s="11">
        <v>85</v>
      </c>
      <c r="B86" s="11" t="s">
        <v>154</v>
      </c>
      <c r="C86" s="11" t="s">
        <v>155</v>
      </c>
      <c r="D86" s="41" t="s">
        <v>461</v>
      </c>
      <c r="E86" s="11">
        <v>277039277</v>
      </c>
      <c r="F86" s="11">
        <v>0.1283</v>
      </c>
    </row>
    <row r="87" spans="1:6" x14ac:dyDescent="0.2">
      <c r="A87" s="11">
        <v>86</v>
      </c>
      <c r="B87" s="11" t="s">
        <v>69</v>
      </c>
      <c r="C87" s="11" t="s">
        <v>70</v>
      </c>
      <c r="D87" s="41" t="s">
        <v>461</v>
      </c>
      <c r="E87" s="11">
        <v>275967676</v>
      </c>
      <c r="F87" s="11">
        <v>0.1018</v>
      </c>
    </row>
    <row r="88" spans="1:6" x14ac:dyDescent="0.2">
      <c r="A88" s="11">
        <v>87</v>
      </c>
      <c r="B88" s="11" t="s">
        <v>75</v>
      </c>
      <c r="C88" s="11" t="s">
        <v>76</v>
      </c>
      <c r="D88" s="41" t="s">
        <v>461</v>
      </c>
      <c r="E88" s="11">
        <v>333657615</v>
      </c>
      <c r="F88" s="11">
        <v>9.4299999999999995E-2</v>
      </c>
    </row>
    <row r="89" spans="1:6" x14ac:dyDescent="0.2">
      <c r="A89" s="11">
        <v>88</v>
      </c>
      <c r="B89" s="11" t="s">
        <v>103</v>
      </c>
      <c r="C89" s="11" t="s">
        <v>104</v>
      </c>
      <c r="D89" s="41" t="s">
        <v>463</v>
      </c>
      <c r="E89" s="11">
        <v>190059275</v>
      </c>
      <c r="F89" s="11">
        <v>9.0800000000000006E-2</v>
      </c>
    </row>
    <row r="90" spans="1:6" x14ac:dyDescent="0.2">
      <c r="A90" s="11">
        <v>89</v>
      </c>
      <c r="B90" s="11" t="s">
        <v>93</v>
      </c>
      <c r="C90" s="11" t="s">
        <v>94</v>
      </c>
      <c r="D90" s="41" t="s">
        <v>461</v>
      </c>
      <c r="E90" s="11">
        <v>94318339</v>
      </c>
      <c r="F90" s="11">
        <v>9.0700000000000003E-2</v>
      </c>
    </row>
    <row r="91" spans="1:6" x14ac:dyDescent="0.2">
      <c r="A91" s="11">
        <v>90</v>
      </c>
      <c r="B91" s="11" t="s">
        <v>113</v>
      </c>
      <c r="C91" s="11" t="s">
        <v>114</v>
      </c>
      <c r="D91" s="41" t="s">
        <v>461</v>
      </c>
      <c r="E91" s="11">
        <v>1255237214</v>
      </c>
      <c r="F91" s="11">
        <v>7.3300000000000004E-2</v>
      </c>
    </row>
    <row r="92" spans="1:6" x14ac:dyDescent="0.2">
      <c r="A92" s="11">
        <v>91</v>
      </c>
      <c r="B92" s="11" t="s">
        <v>472</v>
      </c>
      <c r="C92" s="11" t="s">
        <v>473</v>
      </c>
      <c r="D92" s="41" t="s">
        <v>461</v>
      </c>
      <c r="E92" s="11">
        <v>73573028</v>
      </c>
      <c r="F92" s="11">
        <v>4.2000000000000003E-2</v>
      </c>
    </row>
    <row r="93" spans="1:6" x14ac:dyDescent="0.2">
      <c r="A93" s="11">
        <v>92</v>
      </c>
      <c r="B93" s="11" t="s">
        <v>46</v>
      </c>
      <c r="C93" s="11" t="s">
        <v>47</v>
      </c>
      <c r="D93" s="41" t="s">
        <v>461</v>
      </c>
      <c r="E93" s="11">
        <v>657963256</v>
      </c>
      <c r="F93" s="11">
        <v>4.1500000000000002E-2</v>
      </c>
    </row>
  </sheetData>
  <sortState xmlns:xlrd2="http://schemas.microsoft.com/office/spreadsheetml/2017/richdata2" ref="B2:F93">
    <sortCondition descending="1" ref="F1:F93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DB0CB-A5E7-4097-9A41-47CA212D98D5}">
  <dimension ref="A1:G89"/>
  <sheetViews>
    <sheetView workbookViewId="0">
      <selection activeCell="H29" sqref="H29"/>
    </sheetView>
  </sheetViews>
  <sheetFormatPr defaultRowHeight="12.75" x14ac:dyDescent="0.2"/>
  <cols>
    <col min="1" max="1" width="9.140625" style="8"/>
    <col min="2" max="2" width="10.42578125" style="8" customWidth="1"/>
    <col min="3" max="3" width="21.140625" style="8" customWidth="1"/>
    <col min="4" max="4" width="10.85546875" style="8" customWidth="1"/>
    <col min="5" max="5" width="16.28515625" style="44" customWidth="1"/>
    <col min="6" max="6" width="11" style="48" customWidth="1"/>
    <col min="7" max="16384" width="9.140625" style="8"/>
  </cols>
  <sheetData>
    <row r="1" spans="1:7" x14ac:dyDescent="0.2">
      <c r="A1" s="8" t="s">
        <v>662</v>
      </c>
      <c r="B1" s="39" t="s">
        <v>622</v>
      </c>
      <c r="C1" s="39" t="s">
        <v>623</v>
      </c>
      <c r="D1" s="39" t="s">
        <v>626</v>
      </c>
      <c r="E1" s="43" t="s">
        <v>624</v>
      </c>
      <c r="F1" s="45" t="s">
        <v>625</v>
      </c>
    </row>
    <row r="2" spans="1:7" x14ac:dyDescent="0.2">
      <c r="A2" s="8">
        <v>1</v>
      </c>
      <c r="B2" s="1" t="s">
        <v>185</v>
      </c>
      <c r="C2" s="1" t="s">
        <v>186</v>
      </c>
      <c r="D2" s="1" t="s">
        <v>461</v>
      </c>
      <c r="E2" s="50">
        <v>4427123466</v>
      </c>
      <c r="F2" s="46">
        <v>14.765499999999999</v>
      </c>
    </row>
    <row r="3" spans="1:7" x14ac:dyDescent="0.2">
      <c r="A3" s="8">
        <v>2</v>
      </c>
      <c r="B3" s="1" t="s">
        <v>149</v>
      </c>
      <c r="C3" s="1" t="s">
        <v>148</v>
      </c>
      <c r="D3" s="1" t="s">
        <v>463</v>
      </c>
      <c r="E3" s="50">
        <v>4566445852</v>
      </c>
      <c r="F3" s="46">
        <v>7.2138</v>
      </c>
    </row>
    <row r="4" spans="1:7" x14ac:dyDescent="0.2">
      <c r="A4" s="8">
        <v>3</v>
      </c>
      <c r="B4" s="1" t="s">
        <v>118</v>
      </c>
      <c r="C4" s="1" t="s">
        <v>119</v>
      </c>
      <c r="D4" s="1" t="s">
        <v>466</v>
      </c>
      <c r="E4" s="50">
        <v>4801593832</v>
      </c>
      <c r="F4" s="46">
        <v>6.4276</v>
      </c>
    </row>
    <row r="5" spans="1:7" x14ac:dyDescent="0.2">
      <c r="A5" s="8">
        <v>4</v>
      </c>
      <c r="B5" s="1" t="s">
        <v>147</v>
      </c>
      <c r="C5" s="1" t="s">
        <v>148</v>
      </c>
      <c r="D5" s="1" t="s">
        <v>469</v>
      </c>
      <c r="E5" s="50">
        <v>2585311860</v>
      </c>
      <c r="F5" s="46">
        <v>4.4671000000000003</v>
      </c>
    </row>
    <row r="6" spans="1:7" x14ac:dyDescent="0.2">
      <c r="A6" s="8">
        <v>5</v>
      </c>
      <c r="B6" s="1" t="s">
        <v>21</v>
      </c>
      <c r="C6" s="1" t="s">
        <v>19</v>
      </c>
      <c r="D6" s="1" t="s">
        <v>462</v>
      </c>
      <c r="E6" s="50">
        <v>5146576868</v>
      </c>
      <c r="F6" s="46">
        <v>3.7309000000000001</v>
      </c>
    </row>
    <row r="7" spans="1:7" x14ac:dyDescent="0.2">
      <c r="A7" s="8">
        <v>6</v>
      </c>
      <c r="B7" s="1" t="s">
        <v>14</v>
      </c>
      <c r="C7" s="1" t="s">
        <v>15</v>
      </c>
      <c r="D7" s="1" t="s">
        <v>461</v>
      </c>
      <c r="E7" s="50">
        <v>5694552584</v>
      </c>
      <c r="F7" s="46">
        <v>3.5785</v>
      </c>
    </row>
    <row r="8" spans="1:7" x14ac:dyDescent="0.2">
      <c r="A8" s="8">
        <v>7</v>
      </c>
      <c r="B8" s="1" t="s">
        <v>79</v>
      </c>
      <c r="C8" s="1" t="s">
        <v>80</v>
      </c>
      <c r="D8" s="1" t="s">
        <v>470</v>
      </c>
      <c r="E8" s="50">
        <v>1980568384</v>
      </c>
      <c r="F8" s="46">
        <v>3.3934000000000002</v>
      </c>
    </row>
    <row r="9" spans="1:7" x14ac:dyDescent="0.2">
      <c r="A9" s="8">
        <v>8</v>
      </c>
      <c r="B9" s="1" t="s">
        <v>16</v>
      </c>
      <c r="C9" s="1" t="s">
        <v>17</v>
      </c>
      <c r="D9" s="1" t="s">
        <v>461</v>
      </c>
      <c r="E9" s="50">
        <v>1420949112</v>
      </c>
      <c r="F9" s="46">
        <v>3.2621000000000002</v>
      </c>
    </row>
    <row r="10" spans="1:7" x14ac:dyDescent="0.2">
      <c r="A10" s="8">
        <v>9</v>
      </c>
      <c r="B10" s="1" t="s">
        <v>0</v>
      </c>
      <c r="C10" s="1" t="s">
        <v>1</v>
      </c>
      <c r="D10" s="1" t="s">
        <v>2</v>
      </c>
      <c r="E10" s="50">
        <v>4394245879</v>
      </c>
      <c r="F10" s="46">
        <v>2.9506999999999999</v>
      </c>
    </row>
    <row r="11" spans="1:7" x14ac:dyDescent="0.2">
      <c r="A11" s="8">
        <v>10</v>
      </c>
      <c r="B11" s="1" t="s">
        <v>162</v>
      </c>
      <c r="C11" s="1" t="s">
        <v>163</v>
      </c>
      <c r="D11" s="1" t="s">
        <v>461</v>
      </c>
      <c r="E11" s="50">
        <v>846394333</v>
      </c>
      <c r="F11" s="46">
        <v>2.6114000000000002</v>
      </c>
    </row>
    <row r="12" spans="1:7" x14ac:dyDescent="0.2">
      <c r="A12" s="8">
        <v>11</v>
      </c>
      <c r="B12" s="1" t="s">
        <v>191</v>
      </c>
      <c r="C12" s="1" t="s">
        <v>192</v>
      </c>
      <c r="D12" s="1" t="s">
        <v>461</v>
      </c>
      <c r="E12" s="50">
        <v>1481593024</v>
      </c>
      <c r="F12" s="46">
        <v>2.5785999999999998</v>
      </c>
    </row>
    <row r="13" spans="1:7" x14ac:dyDescent="0.2">
      <c r="A13" s="8">
        <v>12</v>
      </c>
      <c r="B13" s="1" t="s">
        <v>115</v>
      </c>
      <c r="C13" s="1" t="s">
        <v>116</v>
      </c>
      <c r="D13" s="1" t="s">
        <v>462</v>
      </c>
      <c r="E13" s="50">
        <v>5197306576</v>
      </c>
      <c r="F13" s="46">
        <v>2.3500999999999999</v>
      </c>
    </row>
    <row r="14" spans="1:7" x14ac:dyDescent="0.2">
      <c r="A14" s="8">
        <v>13</v>
      </c>
      <c r="B14" s="1" t="s">
        <v>152</v>
      </c>
      <c r="C14" s="1" t="s">
        <v>153</v>
      </c>
      <c r="D14" s="1" t="s">
        <v>461</v>
      </c>
      <c r="E14" s="50">
        <v>798274909</v>
      </c>
      <c r="F14" s="46">
        <v>1.8145</v>
      </c>
    </row>
    <row r="15" spans="1:7" x14ac:dyDescent="0.2">
      <c r="A15" s="8">
        <v>14</v>
      </c>
      <c r="B15" s="1" t="s">
        <v>31</v>
      </c>
      <c r="C15" s="1" t="s">
        <v>32</v>
      </c>
      <c r="D15" s="1" t="s">
        <v>465</v>
      </c>
      <c r="E15" s="50">
        <v>1150645866</v>
      </c>
      <c r="F15" s="46">
        <v>1.7992999999999999</v>
      </c>
    </row>
    <row r="16" spans="1:7" x14ac:dyDescent="0.2">
      <c r="A16" s="8">
        <v>15</v>
      </c>
      <c r="B16" s="1" t="s">
        <v>91</v>
      </c>
      <c r="C16" s="1" t="s">
        <v>92</v>
      </c>
      <c r="D16" s="1" t="s">
        <v>461</v>
      </c>
      <c r="E16" s="50">
        <v>1095587251</v>
      </c>
      <c r="F16" s="46">
        <v>1.6919999999999999</v>
      </c>
      <c r="G16" s="48">
        <f>SUM(F2:F16)</f>
        <v>62.6355</v>
      </c>
    </row>
    <row r="17" spans="1:7" x14ac:dyDescent="0.2">
      <c r="A17" s="8">
        <v>16</v>
      </c>
      <c r="B17" s="1" t="s">
        <v>171</v>
      </c>
      <c r="C17" s="1" t="s">
        <v>172</v>
      </c>
      <c r="D17" s="1" t="s">
        <v>461</v>
      </c>
      <c r="E17" s="50">
        <v>683452836</v>
      </c>
      <c r="F17" s="46">
        <v>1.6908000000000001</v>
      </c>
    </row>
    <row r="18" spans="1:7" x14ac:dyDescent="0.2">
      <c r="A18" s="8">
        <v>17</v>
      </c>
      <c r="B18" s="1" t="s">
        <v>156</v>
      </c>
      <c r="C18" s="1" t="s">
        <v>157</v>
      </c>
      <c r="D18" s="1" t="s">
        <v>461</v>
      </c>
      <c r="E18" s="50">
        <v>1263596819</v>
      </c>
      <c r="F18" s="46">
        <v>1.6847000000000001</v>
      </c>
    </row>
    <row r="19" spans="1:7" x14ac:dyDescent="0.2">
      <c r="A19" s="8">
        <v>18</v>
      </c>
      <c r="B19" s="1" t="s">
        <v>160</v>
      </c>
      <c r="C19" s="1" t="s">
        <v>161</v>
      </c>
      <c r="D19" s="1" t="s">
        <v>461</v>
      </c>
      <c r="E19" s="50">
        <v>1168230366</v>
      </c>
      <c r="F19" s="46">
        <v>1.6322000000000001</v>
      </c>
    </row>
    <row r="20" spans="1:7" x14ac:dyDescent="0.2">
      <c r="A20" s="8">
        <v>19</v>
      </c>
      <c r="B20" s="1" t="s">
        <v>97</v>
      </c>
      <c r="C20" s="1" t="s">
        <v>98</v>
      </c>
      <c r="D20" s="1" t="s">
        <v>462</v>
      </c>
      <c r="E20" s="50">
        <v>1118525506</v>
      </c>
      <c r="F20" s="46">
        <v>1.4078999999999999</v>
      </c>
    </row>
    <row r="21" spans="1:7" x14ac:dyDescent="0.2">
      <c r="A21" s="8">
        <v>20</v>
      </c>
      <c r="B21" s="1" t="s">
        <v>158</v>
      </c>
      <c r="C21" s="1" t="s">
        <v>159</v>
      </c>
      <c r="D21" s="1" t="s">
        <v>461</v>
      </c>
      <c r="E21" s="50">
        <v>1218352541</v>
      </c>
      <c r="F21" s="46">
        <v>1.3371</v>
      </c>
      <c r="G21" s="48">
        <f>SUM(F2:F21)</f>
        <v>70.388200000000012</v>
      </c>
    </row>
    <row r="22" spans="1:7" x14ac:dyDescent="0.2">
      <c r="A22" s="8">
        <v>21</v>
      </c>
      <c r="B22" s="1" t="s">
        <v>218</v>
      </c>
      <c r="C22" s="1" t="s">
        <v>219</v>
      </c>
      <c r="D22" s="1" t="s">
        <v>461</v>
      </c>
      <c r="E22" s="50">
        <v>1114412532</v>
      </c>
      <c r="F22" s="46">
        <v>1.0218</v>
      </c>
    </row>
    <row r="23" spans="1:7" x14ac:dyDescent="0.2">
      <c r="A23" s="8">
        <v>22</v>
      </c>
      <c r="B23" s="1" t="s">
        <v>120</v>
      </c>
      <c r="C23" s="1" t="s">
        <v>121</v>
      </c>
      <c r="D23" s="1" t="s">
        <v>461</v>
      </c>
      <c r="E23" s="50">
        <v>1134986472</v>
      </c>
      <c r="F23" s="46">
        <v>1.0170999999999999</v>
      </c>
    </row>
    <row r="24" spans="1:7" x14ac:dyDescent="0.2">
      <c r="A24" s="8">
        <v>23</v>
      </c>
      <c r="B24" s="1" t="s">
        <v>65</v>
      </c>
      <c r="C24" s="1" t="s">
        <v>66</v>
      </c>
      <c r="D24" s="1" t="s">
        <v>461</v>
      </c>
      <c r="E24" s="50">
        <v>1168097881</v>
      </c>
      <c r="F24" s="46">
        <v>1.0134000000000001</v>
      </c>
    </row>
    <row r="25" spans="1:7" x14ac:dyDescent="0.2">
      <c r="A25" s="8">
        <v>24</v>
      </c>
      <c r="B25" s="1" t="s">
        <v>23</v>
      </c>
      <c r="C25" s="1" t="s">
        <v>24</v>
      </c>
      <c r="D25" s="1" t="s">
        <v>461</v>
      </c>
      <c r="E25" s="50">
        <v>671750768</v>
      </c>
      <c r="F25" s="46">
        <v>1.0091000000000001</v>
      </c>
    </row>
    <row r="26" spans="1:7" x14ac:dyDescent="0.2">
      <c r="A26" s="8">
        <v>25</v>
      </c>
      <c r="B26" s="1" t="s">
        <v>180</v>
      </c>
      <c r="C26" s="1" t="s">
        <v>181</v>
      </c>
      <c r="D26" s="1" t="s">
        <v>461</v>
      </c>
      <c r="E26" s="50">
        <v>1086411192</v>
      </c>
      <c r="F26" s="46">
        <v>0.96830000000000005</v>
      </c>
    </row>
    <row r="27" spans="1:7" x14ac:dyDescent="0.2">
      <c r="A27" s="8">
        <v>26</v>
      </c>
      <c r="B27" s="1" t="s">
        <v>167</v>
      </c>
      <c r="C27" s="1" t="s">
        <v>168</v>
      </c>
      <c r="D27" s="1" t="s">
        <v>461</v>
      </c>
      <c r="E27" s="50">
        <v>340001799</v>
      </c>
      <c r="F27" s="46">
        <v>0.96650000000000003</v>
      </c>
    </row>
    <row r="28" spans="1:7" x14ac:dyDescent="0.2">
      <c r="A28" s="8">
        <v>27</v>
      </c>
      <c r="B28" s="1" t="s">
        <v>18</v>
      </c>
      <c r="C28" s="1" t="s">
        <v>19</v>
      </c>
      <c r="D28" s="1" t="s">
        <v>470</v>
      </c>
      <c r="E28" s="50">
        <v>1500728902</v>
      </c>
      <c r="F28" s="46">
        <v>0.9587</v>
      </c>
    </row>
    <row r="29" spans="1:7" x14ac:dyDescent="0.2">
      <c r="A29" s="8">
        <v>28</v>
      </c>
      <c r="B29" s="1" t="s">
        <v>105</v>
      </c>
      <c r="C29" s="1" t="s">
        <v>106</v>
      </c>
      <c r="D29" s="1" t="s">
        <v>461</v>
      </c>
      <c r="E29" s="50">
        <v>4324011467</v>
      </c>
      <c r="F29" s="46">
        <v>0.92730000000000001</v>
      </c>
    </row>
    <row r="30" spans="1:7" x14ac:dyDescent="0.2">
      <c r="A30" s="8">
        <v>29</v>
      </c>
      <c r="B30" s="1" t="s">
        <v>87</v>
      </c>
      <c r="C30" s="1" t="s">
        <v>88</v>
      </c>
      <c r="D30" s="1" t="s">
        <v>461</v>
      </c>
      <c r="E30" s="50">
        <v>1578931315</v>
      </c>
      <c r="F30" s="46">
        <v>0.92110000000000003</v>
      </c>
    </row>
    <row r="31" spans="1:7" x14ac:dyDescent="0.2">
      <c r="A31" s="8">
        <v>30</v>
      </c>
      <c r="B31" s="1" t="s">
        <v>52</v>
      </c>
      <c r="C31" s="1" t="s">
        <v>53</v>
      </c>
      <c r="D31" s="1" t="s">
        <v>462</v>
      </c>
      <c r="E31" s="50">
        <v>1437415777</v>
      </c>
      <c r="F31" s="46">
        <v>0.86709999999999998</v>
      </c>
    </row>
    <row r="32" spans="1:7" x14ac:dyDescent="0.2">
      <c r="A32" s="8">
        <v>31</v>
      </c>
      <c r="B32" s="1" t="s">
        <v>189</v>
      </c>
      <c r="C32" s="1" t="s">
        <v>190</v>
      </c>
      <c r="D32" s="1" t="s">
        <v>621</v>
      </c>
      <c r="E32" s="50">
        <v>423091712</v>
      </c>
      <c r="F32" s="46">
        <v>0.85370000000000001</v>
      </c>
    </row>
    <row r="33" spans="1:6" x14ac:dyDescent="0.2">
      <c r="A33" s="8">
        <v>32</v>
      </c>
      <c r="B33" s="1" t="s">
        <v>124</v>
      </c>
      <c r="C33" s="1" t="s">
        <v>125</v>
      </c>
      <c r="D33" s="1" t="s">
        <v>465</v>
      </c>
      <c r="E33" s="50">
        <v>706747385</v>
      </c>
      <c r="F33" s="46">
        <v>0.78969999999999996</v>
      </c>
    </row>
    <row r="34" spans="1:6" x14ac:dyDescent="0.2">
      <c r="A34" s="8">
        <v>33</v>
      </c>
      <c r="B34" s="1" t="s">
        <v>109</v>
      </c>
      <c r="C34" s="1" t="s">
        <v>110</v>
      </c>
      <c r="D34" s="1" t="s">
        <v>461</v>
      </c>
      <c r="E34" s="50">
        <v>409490388</v>
      </c>
      <c r="F34" s="46">
        <v>0.78900000000000003</v>
      </c>
    </row>
    <row r="35" spans="1:6" x14ac:dyDescent="0.2">
      <c r="A35" s="8">
        <v>34</v>
      </c>
      <c r="B35" s="1" t="s">
        <v>9</v>
      </c>
      <c r="C35" s="1" t="s">
        <v>10</v>
      </c>
      <c r="D35" s="1" t="s">
        <v>461</v>
      </c>
      <c r="E35" s="50">
        <v>1349645897</v>
      </c>
      <c r="F35" s="46">
        <v>0.77490000000000003</v>
      </c>
    </row>
    <row r="36" spans="1:6" x14ac:dyDescent="0.2">
      <c r="A36" s="8">
        <v>35</v>
      </c>
      <c r="B36" s="1" t="s">
        <v>130</v>
      </c>
      <c r="C36" s="1" t="s">
        <v>131</v>
      </c>
      <c r="D36" s="1" t="s">
        <v>461</v>
      </c>
      <c r="E36" s="50">
        <v>951318467</v>
      </c>
      <c r="F36" s="46">
        <v>0.77229999999999999</v>
      </c>
    </row>
    <row r="37" spans="1:6" x14ac:dyDescent="0.2">
      <c r="A37" s="8">
        <v>36</v>
      </c>
      <c r="B37" s="1" t="s">
        <v>39</v>
      </c>
      <c r="C37" s="1" t="s">
        <v>40</v>
      </c>
      <c r="D37" s="1" t="s">
        <v>461</v>
      </c>
      <c r="E37" s="50">
        <v>1677525446</v>
      </c>
      <c r="F37" s="46">
        <v>0.73660000000000003</v>
      </c>
    </row>
    <row r="38" spans="1:6" x14ac:dyDescent="0.2">
      <c r="A38" s="8">
        <v>37</v>
      </c>
      <c r="B38" s="1" t="s">
        <v>60</v>
      </c>
      <c r="C38" s="1" t="s">
        <v>61</v>
      </c>
      <c r="D38" s="1" t="s">
        <v>468</v>
      </c>
      <c r="E38" s="50">
        <v>1679335290</v>
      </c>
      <c r="F38" s="46">
        <v>0.71140000000000003</v>
      </c>
    </row>
    <row r="39" spans="1:6" x14ac:dyDescent="0.2">
      <c r="A39" s="8">
        <v>38</v>
      </c>
      <c r="B39" s="1" t="s">
        <v>83</v>
      </c>
      <c r="C39" s="1" t="s">
        <v>84</v>
      </c>
      <c r="D39" s="1" t="s">
        <v>461</v>
      </c>
      <c r="E39" s="50">
        <v>734632705</v>
      </c>
      <c r="F39" s="46">
        <v>0.70420000000000005</v>
      </c>
    </row>
    <row r="40" spans="1:6" x14ac:dyDescent="0.2">
      <c r="A40" s="8">
        <v>39</v>
      </c>
      <c r="B40" s="1" t="s">
        <v>178</v>
      </c>
      <c r="C40" s="1" t="s">
        <v>179</v>
      </c>
      <c r="D40" s="1" t="s">
        <v>461</v>
      </c>
      <c r="E40" s="50">
        <v>514122351</v>
      </c>
      <c r="F40" s="46">
        <v>0.69189999999999996</v>
      </c>
    </row>
    <row r="41" spans="1:6" x14ac:dyDescent="0.2">
      <c r="A41" s="8">
        <v>40</v>
      </c>
      <c r="B41" s="1" t="s">
        <v>89</v>
      </c>
      <c r="C41" s="1" t="s">
        <v>90</v>
      </c>
      <c r="D41" s="1" t="s">
        <v>465</v>
      </c>
      <c r="E41" s="50">
        <v>290435910</v>
      </c>
      <c r="F41" s="46">
        <v>0.6552</v>
      </c>
    </row>
    <row r="42" spans="1:6" x14ac:dyDescent="0.2">
      <c r="A42" s="8">
        <v>41</v>
      </c>
      <c r="B42" s="1" t="s">
        <v>143</v>
      </c>
      <c r="C42" s="1" t="s">
        <v>144</v>
      </c>
      <c r="D42" s="1" t="s">
        <v>461</v>
      </c>
      <c r="E42" s="50">
        <v>839638069</v>
      </c>
      <c r="F42" s="46">
        <v>0.62470000000000003</v>
      </c>
    </row>
    <row r="43" spans="1:6" x14ac:dyDescent="0.2">
      <c r="A43" s="8">
        <v>42</v>
      </c>
      <c r="B43" s="1" t="s">
        <v>48</v>
      </c>
      <c r="C43" s="1" t="s">
        <v>49</v>
      </c>
      <c r="D43" s="1" t="s">
        <v>461</v>
      </c>
      <c r="E43" s="50">
        <v>995335937</v>
      </c>
      <c r="F43" s="46">
        <v>0.61</v>
      </c>
    </row>
    <row r="44" spans="1:6" x14ac:dyDescent="0.2">
      <c r="A44" s="8">
        <v>43</v>
      </c>
      <c r="B44" s="1" t="s">
        <v>195</v>
      </c>
      <c r="C44" s="1" t="s">
        <v>196</v>
      </c>
      <c r="D44" s="1" t="s">
        <v>461</v>
      </c>
      <c r="E44" s="50">
        <v>532616595</v>
      </c>
      <c r="F44" s="46">
        <v>0.59279999999999999</v>
      </c>
    </row>
    <row r="45" spans="1:6" x14ac:dyDescent="0.2">
      <c r="A45" s="8">
        <v>44</v>
      </c>
      <c r="B45" s="1" t="s">
        <v>176</v>
      </c>
      <c r="C45" s="1" t="s">
        <v>177</v>
      </c>
      <c r="D45" s="1" t="s">
        <v>461</v>
      </c>
      <c r="E45" s="50">
        <v>807896814</v>
      </c>
      <c r="F45" s="46">
        <v>0.56789999999999996</v>
      </c>
    </row>
    <row r="46" spans="1:6" x14ac:dyDescent="0.2">
      <c r="A46" s="8">
        <v>45</v>
      </c>
      <c r="B46" s="1" t="s">
        <v>77</v>
      </c>
      <c r="C46" s="1" t="s">
        <v>78</v>
      </c>
      <c r="D46" s="1" t="s">
        <v>461</v>
      </c>
      <c r="E46" s="50">
        <v>255230961</v>
      </c>
      <c r="F46" s="46">
        <v>0.52049999999999996</v>
      </c>
    </row>
    <row r="47" spans="1:6" x14ac:dyDescent="0.2">
      <c r="A47" s="8">
        <v>46</v>
      </c>
      <c r="B47" s="1" t="s">
        <v>82</v>
      </c>
      <c r="C47" s="1" t="s">
        <v>80</v>
      </c>
      <c r="D47" s="1" t="s">
        <v>471</v>
      </c>
      <c r="E47" s="50">
        <v>270230714</v>
      </c>
      <c r="F47" s="46">
        <v>0.50719999999999998</v>
      </c>
    </row>
    <row r="48" spans="1:6" x14ac:dyDescent="0.2">
      <c r="A48" s="8">
        <v>47</v>
      </c>
      <c r="B48" s="1" t="s">
        <v>164</v>
      </c>
      <c r="C48" s="1" t="s">
        <v>165</v>
      </c>
      <c r="D48" s="1" t="s">
        <v>166</v>
      </c>
      <c r="E48" s="50">
        <v>342918449</v>
      </c>
      <c r="F48" s="46">
        <v>0.45379999999999998</v>
      </c>
    </row>
    <row r="49" spans="1:6" x14ac:dyDescent="0.2">
      <c r="A49" s="8">
        <v>48</v>
      </c>
      <c r="B49" s="1" t="s">
        <v>134</v>
      </c>
      <c r="C49" s="1" t="s">
        <v>135</v>
      </c>
      <c r="D49" s="1" t="s">
        <v>461</v>
      </c>
      <c r="E49" s="50">
        <v>2867627068</v>
      </c>
      <c r="F49" s="46">
        <v>0.39700000000000002</v>
      </c>
    </row>
    <row r="50" spans="1:6" x14ac:dyDescent="0.2">
      <c r="A50" s="8">
        <v>49</v>
      </c>
      <c r="B50" s="1" t="s">
        <v>101</v>
      </c>
      <c r="C50" s="1" t="s">
        <v>102</v>
      </c>
      <c r="D50" s="1" t="s">
        <v>462</v>
      </c>
      <c r="E50" s="50">
        <v>660411219</v>
      </c>
      <c r="F50" s="46">
        <v>0.38269999999999998</v>
      </c>
    </row>
    <row r="51" spans="1:6" x14ac:dyDescent="0.2">
      <c r="A51" s="8">
        <v>50</v>
      </c>
      <c r="B51" s="1" t="s">
        <v>208</v>
      </c>
      <c r="C51" s="1" t="s">
        <v>209</v>
      </c>
      <c r="D51" s="1" t="s">
        <v>461</v>
      </c>
      <c r="E51" s="50">
        <v>235661666</v>
      </c>
      <c r="F51" s="46">
        <v>0.37869999999999998</v>
      </c>
    </row>
    <row r="52" spans="1:6" x14ac:dyDescent="0.2">
      <c r="A52" s="8">
        <v>51</v>
      </c>
      <c r="B52" s="1" t="s">
        <v>173</v>
      </c>
      <c r="C52" s="1" t="s">
        <v>174</v>
      </c>
      <c r="D52" s="1" t="s">
        <v>465</v>
      </c>
      <c r="E52" s="50">
        <v>218568234</v>
      </c>
      <c r="F52" s="46">
        <v>0.36940000000000001</v>
      </c>
    </row>
    <row r="53" spans="1:6" x14ac:dyDescent="0.2">
      <c r="A53" s="8">
        <v>52</v>
      </c>
      <c r="B53" s="1" t="s">
        <v>67</v>
      </c>
      <c r="C53" s="1" t="s">
        <v>68</v>
      </c>
      <c r="D53" s="1" t="s">
        <v>2</v>
      </c>
      <c r="E53" s="50">
        <v>600865451</v>
      </c>
      <c r="F53" s="46">
        <v>0.35809999999999997</v>
      </c>
    </row>
    <row r="54" spans="1:6" x14ac:dyDescent="0.2">
      <c r="A54" s="8">
        <v>53</v>
      </c>
      <c r="B54" s="1" t="s">
        <v>140</v>
      </c>
      <c r="C54" s="1" t="s">
        <v>141</v>
      </c>
      <c r="D54" s="1" t="s">
        <v>469</v>
      </c>
      <c r="E54" s="50">
        <v>266965257</v>
      </c>
      <c r="F54" s="46">
        <v>0.32579999999999998</v>
      </c>
    </row>
    <row r="55" spans="1:6" x14ac:dyDescent="0.2">
      <c r="A55" s="8">
        <v>54</v>
      </c>
      <c r="B55" s="1" t="s">
        <v>56</v>
      </c>
      <c r="C55" s="1" t="s">
        <v>57</v>
      </c>
      <c r="D55" s="1" t="s">
        <v>461</v>
      </c>
      <c r="E55" s="50">
        <v>187732538</v>
      </c>
      <c r="F55" s="46">
        <v>0.31630000000000003</v>
      </c>
    </row>
    <row r="56" spans="1:6" x14ac:dyDescent="0.2">
      <c r="A56" s="8">
        <v>55</v>
      </c>
      <c r="B56" s="1" t="s">
        <v>206</v>
      </c>
      <c r="C56" s="1" t="s">
        <v>207</v>
      </c>
      <c r="D56" s="1" t="s">
        <v>461</v>
      </c>
      <c r="E56" s="50">
        <v>274957807</v>
      </c>
      <c r="F56" s="46">
        <v>0.31359999999999999</v>
      </c>
    </row>
    <row r="57" spans="1:6" x14ac:dyDescent="0.2">
      <c r="A57" s="8">
        <v>56</v>
      </c>
      <c r="B57" s="1" t="s">
        <v>193</v>
      </c>
      <c r="C57" s="1" t="s">
        <v>194</v>
      </c>
      <c r="D57" s="1" t="s">
        <v>461</v>
      </c>
      <c r="E57" s="50">
        <v>289347914</v>
      </c>
      <c r="F57" s="46">
        <v>0.29570000000000002</v>
      </c>
    </row>
    <row r="58" spans="1:6" x14ac:dyDescent="0.2">
      <c r="A58" s="8">
        <v>57</v>
      </c>
      <c r="B58" s="1" t="s">
        <v>71</v>
      </c>
      <c r="C58" s="1" t="s">
        <v>72</v>
      </c>
      <c r="D58" s="1" t="s">
        <v>461</v>
      </c>
      <c r="E58" s="50">
        <v>265784616</v>
      </c>
      <c r="F58" s="46">
        <v>0.29320000000000002</v>
      </c>
    </row>
    <row r="59" spans="1:6" x14ac:dyDescent="0.2">
      <c r="A59" s="8">
        <v>58</v>
      </c>
      <c r="B59" s="1" t="s">
        <v>35</v>
      </c>
      <c r="C59" s="1" t="s">
        <v>36</v>
      </c>
      <c r="D59" s="1" t="s">
        <v>462</v>
      </c>
      <c r="E59" s="50">
        <v>251003438</v>
      </c>
      <c r="F59" s="46">
        <v>0.28710000000000002</v>
      </c>
    </row>
    <row r="60" spans="1:6" x14ac:dyDescent="0.2">
      <c r="A60" s="8">
        <v>59</v>
      </c>
      <c r="B60" s="1" t="s">
        <v>41</v>
      </c>
      <c r="C60" s="1" t="s">
        <v>42</v>
      </c>
      <c r="D60" s="1" t="s">
        <v>467</v>
      </c>
      <c r="E60" s="50">
        <v>265479055</v>
      </c>
      <c r="F60" s="46">
        <v>0.28670000000000001</v>
      </c>
    </row>
    <row r="61" spans="1:6" x14ac:dyDescent="0.2">
      <c r="A61" s="8">
        <v>60</v>
      </c>
      <c r="B61" s="1" t="s">
        <v>63</v>
      </c>
      <c r="C61" s="1" t="s">
        <v>64</v>
      </c>
      <c r="D61" s="1" t="s">
        <v>461</v>
      </c>
      <c r="E61" s="50">
        <v>531372207</v>
      </c>
      <c r="F61" s="46">
        <v>0.27139999999999997</v>
      </c>
    </row>
    <row r="62" spans="1:6" x14ac:dyDescent="0.2">
      <c r="A62" s="8">
        <v>61</v>
      </c>
      <c r="B62" s="1" t="s">
        <v>54</v>
      </c>
      <c r="C62" s="1" t="s">
        <v>55</v>
      </c>
      <c r="D62" s="1" t="s">
        <v>461</v>
      </c>
      <c r="E62" s="50">
        <v>1815524541</v>
      </c>
      <c r="F62" s="46">
        <v>0.26450000000000001</v>
      </c>
    </row>
    <row r="63" spans="1:6" x14ac:dyDescent="0.2">
      <c r="A63" s="8">
        <v>62</v>
      </c>
      <c r="B63" s="1" t="s">
        <v>212</v>
      </c>
      <c r="C63" s="1" t="s">
        <v>213</v>
      </c>
      <c r="D63" s="1" t="s">
        <v>461</v>
      </c>
      <c r="E63" s="50">
        <v>143294210</v>
      </c>
      <c r="F63" s="46">
        <v>0.25840000000000002</v>
      </c>
    </row>
    <row r="64" spans="1:6" x14ac:dyDescent="0.2">
      <c r="A64" s="8">
        <v>63</v>
      </c>
      <c r="B64" s="1" t="s">
        <v>95</v>
      </c>
      <c r="C64" s="1" t="s">
        <v>96</v>
      </c>
      <c r="D64" s="1" t="s">
        <v>461</v>
      </c>
      <c r="E64" s="50">
        <v>345269967</v>
      </c>
      <c r="F64" s="46">
        <v>0.2462</v>
      </c>
    </row>
    <row r="65" spans="1:6" x14ac:dyDescent="0.2">
      <c r="A65" s="8">
        <v>64</v>
      </c>
      <c r="B65" s="1" t="s">
        <v>216</v>
      </c>
      <c r="C65" s="1" t="s">
        <v>217</v>
      </c>
      <c r="D65" s="1" t="s">
        <v>461</v>
      </c>
      <c r="E65" s="50">
        <v>421383330</v>
      </c>
      <c r="F65" s="46">
        <v>0.24390000000000001</v>
      </c>
    </row>
    <row r="66" spans="1:6" x14ac:dyDescent="0.2">
      <c r="A66" s="8">
        <v>65</v>
      </c>
      <c r="B66" s="1" t="s">
        <v>11</v>
      </c>
      <c r="C66" s="1" t="s">
        <v>12</v>
      </c>
      <c r="D66" s="1" t="s">
        <v>463</v>
      </c>
      <c r="E66" s="50">
        <v>327593725</v>
      </c>
      <c r="F66" s="46">
        <v>0.23669999999999999</v>
      </c>
    </row>
    <row r="67" spans="1:6" x14ac:dyDescent="0.2">
      <c r="A67" s="8">
        <v>66</v>
      </c>
      <c r="B67" s="1" t="s">
        <v>199</v>
      </c>
      <c r="C67" s="1" t="s">
        <v>200</v>
      </c>
      <c r="D67" s="1" t="s">
        <v>469</v>
      </c>
      <c r="E67" s="50">
        <v>1110559345</v>
      </c>
      <c r="F67" s="46">
        <v>0.2344</v>
      </c>
    </row>
    <row r="68" spans="1:6" x14ac:dyDescent="0.2">
      <c r="A68" s="8">
        <v>67</v>
      </c>
      <c r="B68" s="1" t="s">
        <v>201</v>
      </c>
      <c r="C68" s="1" t="s">
        <v>202</v>
      </c>
      <c r="D68" s="1" t="s">
        <v>620</v>
      </c>
      <c r="E68" s="50">
        <v>217622138</v>
      </c>
      <c r="F68" s="46">
        <v>0.22439999999999999</v>
      </c>
    </row>
    <row r="69" spans="1:6" x14ac:dyDescent="0.2">
      <c r="A69" s="8">
        <v>68</v>
      </c>
      <c r="B69" s="1" t="s">
        <v>197</v>
      </c>
      <c r="C69" s="1" t="s">
        <v>198</v>
      </c>
      <c r="D69" s="1" t="s">
        <v>461</v>
      </c>
      <c r="E69" s="50">
        <v>62305891</v>
      </c>
      <c r="F69" s="46">
        <v>0.22220000000000001</v>
      </c>
    </row>
    <row r="70" spans="1:6" x14ac:dyDescent="0.2">
      <c r="A70" s="8">
        <v>69</v>
      </c>
      <c r="B70" s="1" t="s">
        <v>138</v>
      </c>
      <c r="C70" s="1" t="s">
        <v>139</v>
      </c>
      <c r="D70" s="1" t="s">
        <v>461</v>
      </c>
      <c r="E70" s="50">
        <v>376187582</v>
      </c>
      <c r="F70" s="46">
        <v>0.2147</v>
      </c>
    </row>
    <row r="71" spans="1:6" x14ac:dyDescent="0.2">
      <c r="A71" s="8">
        <v>70</v>
      </c>
      <c r="B71" s="1" t="s">
        <v>204</v>
      </c>
      <c r="C71" s="1" t="s">
        <v>205</v>
      </c>
      <c r="D71" s="1" t="s">
        <v>463</v>
      </c>
      <c r="E71" s="50">
        <v>1193671389</v>
      </c>
      <c r="F71" s="46">
        <v>0.2097</v>
      </c>
    </row>
    <row r="72" spans="1:6" x14ac:dyDescent="0.2">
      <c r="A72" s="8">
        <v>71</v>
      </c>
      <c r="B72" s="1" t="s">
        <v>50</v>
      </c>
      <c r="C72" s="1" t="s">
        <v>51</v>
      </c>
      <c r="D72" s="1" t="s">
        <v>461</v>
      </c>
      <c r="E72" s="50">
        <v>1095462329</v>
      </c>
      <c r="F72" s="46">
        <v>0.20469999999999999</v>
      </c>
    </row>
    <row r="73" spans="1:6" x14ac:dyDescent="0.2">
      <c r="A73" s="8">
        <v>72</v>
      </c>
      <c r="B73" s="1" t="s">
        <v>210</v>
      </c>
      <c r="C73" s="1" t="s">
        <v>211</v>
      </c>
      <c r="D73" s="1" t="s">
        <v>461</v>
      </c>
      <c r="E73" s="50">
        <v>101824365</v>
      </c>
      <c r="F73" s="46">
        <v>0.19989999999999999</v>
      </c>
    </row>
    <row r="74" spans="1:6" x14ac:dyDescent="0.2">
      <c r="A74" s="8">
        <v>73</v>
      </c>
      <c r="B74" s="1" t="s">
        <v>214</v>
      </c>
      <c r="C74" s="1" t="s">
        <v>215</v>
      </c>
      <c r="D74" s="1" t="s">
        <v>461</v>
      </c>
      <c r="E74" s="50">
        <v>496029967</v>
      </c>
      <c r="F74" s="46">
        <v>0.18490000000000001</v>
      </c>
    </row>
    <row r="75" spans="1:6" x14ac:dyDescent="0.2">
      <c r="A75" s="8">
        <v>74</v>
      </c>
      <c r="B75" s="1" t="s">
        <v>182</v>
      </c>
      <c r="C75" s="1" t="s">
        <v>183</v>
      </c>
      <c r="D75" s="1" t="s">
        <v>467</v>
      </c>
      <c r="E75" s="50">
        <v>515117391</v>
      </c>
      <c r="F75" s="46">
        <v>0.17280000000000001</v>
      </c>
    </row>
    <row r="76" spans="1:6" x14ac:dyDescent="0.2">
      <c r="A76" s="8">
        <v>75</v>
      </c>
      <c r="B76" s="1" t="s">
        <v>113</v>
      </c>
      <c r="C76" s="1" t="s">
        <v>114</v>
      </c>
      <c r="D76" s="1" t="s">
        <v>461</v>
      </c>
      <c r="E76" s="50">
        <v>81838843</v>
      </c>
      <c r="F76" s="46">
        <v>0.16600000000000001</v>
      </c>
    </row>
    <row r="77" spans="1:6" x14ac:dyDescent="0.2">
      <c r="A77" s="8">
        <v>76</v>
      </c>
      <c r="B77" s="1" t="s">
        <v>132</v>
      </c>
      <c r="C77" s="1" t="s">
        <v>133</v>
      </c>
      <c r="D77" s="1" t="s">
        <v>461</v>
      </c>
      <c r="E77" s="50">
        <v>425161586</v>
      </c>
      <c r="F77" s="46">
        <v>0.14940000000000001</v>
      </c>
    </row>
    <row r="78" spans="1:6" x14ac:dyDescent="0.2">
      <c r="A78" s="8">
        <v>77</v>
      </c>
      <c r="B78" s="1" t="s">
        <v>73</v>
      </c>
      <c r="C78" s="1" t="s">
        <v>74</v>
      </c>
      <c r="D78" s="1" t="s">
        <v>461</v>
      </c>
      <c r="E78" s="50">
        <v>303055637</v>
      </c>
      <c r="F78" s="46">
        <v>0.1203</v>
      </c>
    </row>
    <row r="79" spans="1:6" x14ac:dyDescent="0.2">
      <c r="A79" s="8">
        <v>78</v>
      </c>
      <c r="B79" s="1" t="s">
        <v>25</v>
      </c>
      <c r="C79" s="1" t="s">
        <v>26</v>
      </c>
      <c r="D79" s="1" t="s">
        <v>461</v>
      </c>
      <c r="E79" s="50">
        <v>261036182</v>
      </c>
      <c r="F79" s="46">
        <v>0.1081</v>
      </c>
    </row>
    <row r="80" spans="1:6" x14ac:dyDescent="0.2">
      <c r="A80" s="8">
        <v>79</v>
      </c>
      <c r="B80" s="1" t="s">
        <v>136</v>
      </c>
      <c r="C80" s="1" t="s">
        <v>137</v>
      </c>
      <c r="D80" s="1" t="s">
        <v>461</v>
      </c>
      <c r="E80" s="50">
        <v>292587273</v>
      </c>
      <c r="F80" s="46">
        <v>0.1042</v>
      </c>
    </row>
    <row r="81" spans="1:6" x14ac:dyDescent="0.2">
      <c r="A81" s="8">
        <v>80</v>
      </c>
      <c r="B81" s="1" t="s">
        <v>187</v>
      </c>
      <c r="C81" s="1" t="s">
        <v>188</v>
      </c>
      <c r="D81" s="1" t="s">
        <v>461</v>
      </c>
      <c r="E81" s="50">
        <v>1582929157</v>
      </c>
      <c r="F81" s="46">
        <v>9.8799999999999999E-2</v>
      </c>
    </row>
    <row r="82" spans="1:6" x14ac:dyDescent="0.2">
      <c r="A82" s="8">
        <v>81</v>
      </c>
      <c r="B82" s="1" t="s">
        <v>93</v>
      </c>
      <c r="C82" s="1" t="s">
        <v>94</v>
      </c>
      <c r="D82" s="1" t="s">
        <v>461</v>
      </c>
      <c r="E82" s="50">
        <v>91514307</v>
      </c>
      <c r="F82" s="46">
        <v>9.7799999999999998E-2</v>
      </c>
    </row>
    <row r="83" spans="1:6" x14ac:dyDescent="0.2">
      <c r="A83" s="8">
        <v>82</v>
      </c>
      <c r="B83" s="1" t="s">
        <v>150</v>
      </c>
      <c r="C83" s="1" t="s">
        <v>151</v>
      </c>
      <c r="D83" s="1" t="s">
        <v>461</v>
      </c>
      <c r="E83" s="50">
        <v>329077188</v>
      </c>
      <c r="F83" s="46">
        <v>9.1600000000000001E-2</v>
      </c>
    </row>
    <row r="84" spans="1:6" x14ac:dyDescent="0.2">
      <c r="A84" s="8">
        <v>83</v>
      </c>
      <c r="B84" s="1" t="s">
        <v>3</v>
      </c>
      <c r="C84" s="1" t="s">
        <v>4</v>
      </c>
      <c r="D84" s="1" t="s">
        <v>462</v>
      </c>
      <c r="E84" s="50">
        <v>208965950</v>
      </c>
      <c r="F84" s="46">
        <v>8.9300000000000004E-2</v>
      </c>
    </row>
    <row r="85" spans="1:6" x14ac:dyDescent="0.2">
      <c r="A85" s="8">
        <v>84</v>
      </c>
      <c r="B85" s="1" t="s">
        <v>103</v>
      </c>
      <c r="C85" s="1" t="s">
        <v>104</v>
      </c>
      <c r="D85" s="1" t="s">
        <v>463</v>
      </c>
      <c r="E85" s="50">
        <v>198184909</v>
      </c>
      <c r="F85" s="46">
        <v>6.9400000000000003E-2</v>
      </c>
    </row>
    <row r="86" spans="1:6" x14ac:dyDescent="0.2">
      <c r="A86" s="8">
        <v>85</v>
      </c>
      <c r="B86" s="1" t="s">
        <v>69</v>
      </c>
      <c r="C86" s="1" t="s">
        <v>70</v>
      </c>
      <c r="D86" s="1" t="s">
        <v>461</v>
      </c>
      <c r="E86" s="50">
        <v>443905649</v>
      </c>
      <c r="F86" s="46">
        <v>5.5599999999999997E-2</v>
      </c>
    </row>
    <row r="87" spans="1:6" x14ac:dyDescent="0.2">
      <c r="A87" s="8">
        <v>86</v>
      </c>
      <c r="B87" s="1" t="s">
        <v>145</v>
      </c>
      <c r="C87" s="1" t="s">
        <v>146</v>
      </c>
      <c r="D87" s="1" t="s">
        <v>632</v>
      </c>
      <c r="E87" s="50">
        <v>159430826</v>
      </c>
      <c r="F87" s="46">
        <v>3.7900000000000003E-2</v>
      </c>
    </row>
    <row r="88" spans="1:6" x14ac:dyDescent="0.2">
      <c r="B88" s="2"/>
      <c r="C88" s="1"/>
      <c r="D88" s="1"/>
      <c r="E88" s="9"/>
      <c r="F88" s="46"/>
    </row>
    <row r="89" spans="1:6" x14ac:dyDescent="0.2">
      <c r="B89" s="2"/>
      <c r="C89" s="1"/>
      <c r="D89" s="1"/>
      <c r="E89" s="9"/>
      <c r="F89" s="47"/>
    </row>
  </sheetData>
  <sortState xmlns:xlrd2="http://schemas.microsoft.com/office/spreadsheetml/2017/richdata2" ref="B2:F89">
    <sortCondition descending="1" ref="F1:F89"/>
  </sortState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C0F79-2660-4AC3-853E-BE29745C1BD0}">
  <dimension ref="A1:G88"/>
  <sheetViews>
    <sheetView topLeftCell="A19" workbookViewId="0">
      <selection activeCell="B31" sqref="B2:B31"/>
    </sheetView>
  </sheetViews>
  <sheetFormatPr defaultRowHeight="13.5" x14ac:dyDescent="0.25"/>
  <cols>
    <col min="1" max="2" width="9.140625" style="3"/>
    <col min="3" max="3" width="17.7109375" style="3" customWidth="1"/>
    <col min="4" max="4" width="10.42578125" style="3" customWidth="1"/>
    <col min="5" max="5" width="13.85546875" style="3" customWidth="1"/>
    <col min="6" max="6" width="11.5703125" style="3" customWidth="1"/>
    <col min="7" max="16384" width="9.140625" style="3"/>
  </cols>
  <sheetData>
    <row r="1" spans="1:7" ht="13.5" customHeight="1" x14ac:dyDescent="0.25">
      <c r="A1" s="3" t="s">
        <v>662</v>
      </c>
      <c r="B1" s="39" t="s">
        <v>622</v>
      </c>
      <c r="C1" s="39" t="s">
        <v>623</v>
      </c>
      <c r="D1" s="39" t="s">
        <v>626</v>
      </c>
      <c r="E1" s="39" t="s">
        <v>624</v>
      </c>
      <c r="F1" s="40" t="s">
        <v>625</v>
      </c>
    </row>
    <row r="2" spans="1:7" x14ac:dyDescent="0.25">
      <c r="A2" s="3">
        <v>1</v>
      </c>
      <c r="B2" s="11" t="s">
        <v>185</v>
      </c>
      <c r="C2" s="11" t="s">
        <v>186</v>
      </c>
      <c r="D2" s="11" t="s">
        <v>461</v>
      </c>
      <c r="E2" s="11">
        <v>4270903023</v>
      </c>
      <c r="F2" s="49">
        <v>11.333600000000001</v>
      </c>
    </row>
    <row r="3" spans="1:7" x14ac:dyDescent="0.25">
      <c r="A3" s="3">
        <v>2</v>
      </c>
      <c r="B3" s="11" t="s">
        <v>149</v>
      </c>
      <c r="C3" s="11" t="s">
        <v>148</v>
      </c>
      <c r="D3" s="11" t="s">
        <v>631</v>
      </c>
      <c r="E3" s="11">
        <v>4431132660</v>
      </c>
      <c r="F3" s="49">
        <v>7.7701000000000002</v>
      </c>
    </row>
    <row r="4" spans="1:7" x14ac:dyDescent="0.25">
      <c r="A4" s="3">
        <v>3</v>
      </c>
      <c r="B4" s="11" t="s">
        <v>118</v>
      </c>
      <c r="C4" s="11" t="s">
        <v>119</v>
      </c>
      <c r="D4" s="11" t="s">
        <v>462</v>
      </c>
      <c r="E4" s="11">
        <v>4455161368</v>
      </c>
      <c r="F4" s="49">
        <v>7.2794999999999996</v>
      </c>
    </row>
    <row r="5" spans="1:7" x14ac:dyDescent="0.25">
      <c r="A5" s="3">
        <v>4</v>
      </c>
      <c r="B5" s="11" t="s">
        <v>147</v>
      </c>
      <c r="C5" s="11" t="s">
        <v>148</v>
      </c>
      <c r="D5" s="11" t="s">
        <v>630</v>
      </c>
      <c r="E5" s="11">
        <v>2448348744</v>
      </c>
      <c r="F5" s="49">
        <v>4.6825000000000001</v>
      </c>
    </row>
    <row r="6" spans="1:7" x14ac:dyDescent="0.25">
      <c r="A6" s="3">
        <v>5</v>
      </c>
      <c r="B6" s="11" t="s">
        <v>21</v>
      </c>
      <c r="C6" s="11" t="s">
        <v>19</v>
      </c>
      <c r="D6" s="11" t="s">
        <v>462</v>
      </c>
      <c r="E6" s="11">
        <v>5129958973</v>
      </c>
      <c r="F6" s="49">
        <v>3.5735000000000001</v>
      </c>
    </row>
    <row r="7" spans="1:7" x14ac:dyDescent="0.25">
      <c r="A7" s="3">
        <v>6</v>
      </c>
      <c r="B7" s="11" t="s">
        <v>16</v>
      </c>
      <c r="C7" s="11" t="s">
        <v>17</v>
      </c>
      <c r="D7" s="11" t="s">
        <v>627</v>
      </c>
      <c r="E7" s="11">
        <v>2842613858</v>
      </c>
      <c r="F7" s="49">
        <v>3.5602</v>
      </c>
    </row>
    <row r="8" spans="1:7" x14ac:dyDescent="0.25">
      <c r="A8" s="3">
        <v>7</v>
      </c>
      <c r="B8" s="11" t="s">
        <v>79</v>
      </c>
      <c r="C8" s="11" t="s">
        <v>80</v>
      </c>
      <c r="D8" s="11" t="s">
        <v>470</v>
      </c>
      <c r="E8" s="11">
        <v>1780013881</v>
      </c>
      <c r="F8" s="49">
        <v>3.31</v>
      </c>
    </row>
    <row r="9" spans="1:7" x14ac:dyDescent="0.25">
      <c r="A9" s="3">
        <v>8</v>
      </c>
      <c r="B9" s="11" t="s">
        <v>14</v>
      </c>
      <c r="C9" s="11" t="s">
        <v>15</v>
      </c>
      <c r="D9" s="11" t="s">
        <v>461</v>
      </c>
      <c r="E9" s="11">
        <v>5511401013</v>
      </c>
      <c r="F9" s="49">
        <v>3.1126</v>
      </c>
    </row>
    <row r="10" spans="1:7" x14ac:dyDescent="0.25">
      <c r="A10" s="3">
        <v>9</v>
      </c>
      <c r="B10" s="11" t="s">
        <v>191</v>
      </c>
      <c r="C10" s="11" t="s">
        <v>192</v>
      </c>
      <c r="D10" s="11" t="s">
        <v>461</v>
      </c>
      <c r="E10" s="11">
        <v>1269032828</v>
      </c>
      <c r="F10" s="49">
        <v>3.0607000000000002</v>
      </c>
    </row>
    <row r="11" spans="1:7" x14ac:dyDescent="0.25">
      <c r="A11" s="3">
        <v>10</v>
      </c>
      <c r="B11" s="11" t="s">
        <v>167</v>
      </c>
      <c r="C11" s="11" t="s">
        <v>168</v>
      </c>
      <c r="D11" s="11" t="s">
        <v>461</v>
      </c>
      <c r="E11" s="11">
        <v>683508570</v>
      </c>
      <c r="F11" s="49">
        <v>2.8839000000000001</v>
      </c>
    </row>
    <row r="12" spans="1:7" x14ac:dyDescent="0.25">
      <c r="A12" s="3">
        <v>11</v>
      </c>
      <c r="B12" s="11" t="s">
        <v>115</v>
      </c>
      <c r="C12" s="11" t="s">
        <v>116</v>
      </c>
      <c r="D12" s="11" t="s">
        <v>462</v>
      </c>
      <c r="E12" s="11">
        <v>5504638590</v>
      </c>
      <c r="F12" s="49">
        <v>2.6821999999999999</v>
      </c>
    </row>
    <row r="13" spans="1:7" x14ac:dyDescent="0.25">
      <c r="A13" s="3">
        <v>12</v>
      </c>
      <c r="B13" s="11" t="s">
        <v>0</v>
      </c>
      <c r="C13" s="11" t="s">
        <v>1</v>
      </c>
      <c r="D13" s="11" t="s">
        <v>2</v>
      </c>
      <c r="E13" s="11">
        <v>4394835131</v>
      </c>
      <c r="F13" s="49">
        <v>2.5171999999999999</v>
      </c>
    </row>
    <row r="14" spans="1:7" x14ac:dyDescent="0.25">
      <c r="A14" s="3">
        <v>13</v>
      </c>
      <c r="B14" s="11" t="s">
        <v>31</v>
      </c>
      <c r="C14" s="11" t="s">
        <v>32</v>
      </c>
      <c r="D14" s="11" t="s">
        <v>465</v>
      </c>
      <c r="E14" s="11">
        <v>1287247964</v>
      </c>
      <c r="F14" s="49">
        <v>2.0387</v>
      </c>
    </row>
    <row r="15" spans="1:7" x14ac:dyDescent="0.25">
      <c r="A15" s="3">
        <v>14</v>
      </c>
      <c r="B15" s="11" t="s">
        <v>91</v>
      </c>
      <c r="C15" s="11" t="s">
        <v>92</v>
      </c>
      <c r="D15" s="11" t="s">
        <v>629</v>
      </c>
      <c r="E15" s="11">
        <v>1244602400</v>
      </c>
      <c r="F15" s="49">
        <v>1.8957999999999999</v>
      </c>
    </row>
    <row r="16" spans="1:7" x14ac:dyDescent="0.25">
      <c r="A16" s="3">
        <v>15</v>
      </c>
      <c r="B16" s="11" t="s">
        <v>162</v>
      </c>
      <c r="C16" s="11" t="s">
        <v>163</v>
      </c>
      <c r="D16" s="11" t="s">
        <v>461</v>
      </c>
      <c r="E16" s="11">
        <v>977700485</v>
      </c>
      <c r="F16" s="49">
        <v>1.8015000000000001</v>
      </c>
      <c r="G16" s="56">
        <f>SUM(F2:F16)</f>
        <v>61.502000000000002</v>
      </c>
    </row>
    <row r="17" spans="1:7" x14ac:dyDescent="0.25">
      <c r="A17" s="3">
        <v>16</v>
      </c>
      <c r="B17" s="11" t="s">
        <v>120</v>
      </c>
      <c r="C17" s="11" t="s">
        <v>121</v>
      </c>
      <c r="D17" s="11" t="s">
        <v>461</v>
      </c>
      <c r="E17" s="11">
        <v>1142696472</v>
      </c>
      <c r="F17" s="49">
        <v>1.7813000000000001</v>
      </c>
    </row>
    <row r="18" spans="1:7" x14ac:dyDescent="0.25">
      <c r="A18" s="3">
        <v>17</v>
      </c>
      <c r="B18" s="11" t="s">
        <v>152</v>
      </c>
      <c r="C18" s="11" t="s">
        <v>153</v>
      </c>
      <c r="D18" s="11" t="s">
        <v>461</v>
      </c>
      <c r="E18" s="11">
        <v>798909771</v>
      </c>
      <c r="F18" s="49">
        <v>1.6667000000000001</v>
      </c>
    </row>
    <row r="19" spans="1:7" x14ac:dyDescent="0.25">
      <c r="A19" s="3">
        <v>18</v>
      </c>
      <c r="B19" s="11" t="s">
        <v>160</v>
      </c>
      <c r="C19" s="11" t="s">
        <v>161</v>
      </c>
      <c r="D19" s="11" t="s">
        <v>461</v>
      </c>
      <c r="E19" s="11">
        <v>1145289019</v>
      </c>
      <c r="F19" s="49">
        <v>1.6287</v>
      </c>
    </row>
    <row r="20" spans="1:7" x14ac:dyDescent="0.25">
      <c r="A20" s="3">
        <v>19</v>
      </c>
      <c r="B20" s="11" t="s">
        <v>156</v>
      </c>
      <c r="C20" s="11" t="s">
        <v>157</v>
      </c>
      <c r="D20" s="11" t="s">
        <v>461</v>
      </c>
      <c r="E20" s="11">
        <v>1279770315</v>
      </c>
      <c r="F20" s="49">
        <v>1.5709</v>
      </c>
    </row>
    <row r="21" spans="1:7" x14ac:dyDescent="0.25">
      <c r="A21" s="3">
        <v>20</v>
      </c>
      <c r="B21" s="11" t="s">
        <v>171</v>
      </c>
      <c r="C21" s="11" t="s">
        <v>172</v>
      </c>
      <c r="D21" s="11" t="s">
        <v>461</v>
      </c>
      <c r="E21" s="11">
        <v>630821784</v>
      </c>
      <c r="F21" s="49">
        <v>1.5452999999999999</v>
      </c>
      <c r="G21" s="56">
        <f>SUM(F2:F21)</f>
        <v>69.69489999999999</v>
      </c>
    </row>
    <row r="22" spans="1:7" x14ac:dyDescent="0.25">
      <c r="A22" s="3">
        <v>21</v>
      </c>
      <c r="B22" s="11" t="s">
        <v>83</v>
      </c>
      <c r="C22" s="11" t="s">
        <v>84</v>
      </c>
      <c r="D22" s="11" t="s">
        <v>461</v>
      </c>
      <c r="E22" s="11">
        <v>734632601</v>
      </c>
      <c r="F22" s="49">
        <v>1.5323</v>
      </c>
    </row>
    <row r="23" spans="1:7" x14ac:dyDescent="0.25">
      <c r="A23" s="3">
        <v>22</v>
      </c>
      <c r="B23" s="11" t="s">
        <v>158</v>
      </c>
      <c r="C23" s="11" t="s">
        <v>159</v>
      </c>
      <c r="D23" s="11" t="s">
        <v>461</v>
      </c>
      <c r="E23" s="11">
        <v>1215994115</v>
      </c>
      <c r="F23" s="49">
        <v>1.1834</v>
      </c>
    </row>
    <row r="24" spans="1:7" x14ac:dyDescent="0.25">
      <c r="A24" s="3">
        <v>23</v>
      </c>
      <c r="B24" s="11" t="s">
        <v>218</v>
      </c>
      <c r="C24" s="11" t="s">
        <v>219</v>
      </c>
      <c r="D24" s="11" t="s">
        <v>461</v>
      </c>
      <c r="E24" s="11">
        <v>1023392529</v>
      </c>
      <c r="F24" s="49">
        <v>1.1722999999999999</v>
      </c>
    </row>
    <row r="25" spans="1:7" x14ac:dyDescent="0.25">
      <c r="A25" s="3">
        <v>24</v>
      </c>
      <c r="B25" s="11" t="s">
        <v>180</v>
      </c>
      <c r="C25" s="11" t="s">
        <v>181</v>
      </c>
      <c r="D25" s="11" t="s">
        <v>461</v>
      </c>
      <c r="E25" s="11">
        <v>1090134379</v>
      </c>
      <c r="F25" s="49">
        <v>1.1342000000000001</v>
      </c>
    </row>
    <row r="26" spans="1:7" x14ac:dyDescent="0.25">
      <c r="A26" s="3">
        <v>25</v>
      </c>
      <c r="B26" s="11" t="s">
        <v>23</v>
      </c>
      <c r="C26" s="11" t="s">
        <v>24</v>
      </c>
      <c r="D26" s="11" t="s">
        <v>461</v>
      </c>
      <c r="E26" s="11">
        <v>637332335</v>
      </c>
      <c r="F26" s="49">
        <v>1.0426</v>
      </c>
    </row>
    <row r="27" spans="1:7" x14ac:dyDescent="0.25">
      <c r="A27" s="3">
        <v>26</v>
      </c>
      <c r="B27" s="11" t="s">
        <v>97</v>
      </c>
      <c r="C27" s="11" t="s">
        <v>98</v>
      </c>
      <c r="D27" s="11" t="s">
        <v>462</v>
      </c>
      <c r="E27" s="11">
        <v>1242683687</v>
      </c>
      <c r="F27" s="49">
        <v>1.0127999999999999</v>
      </c>
    </row>
    <row r="28" spans="1:7" x14ac:dyDescent="0.25">
      <c r="A28" s="3">
        <v>27</v>
      </c>
      <c r="B28" s="11" t="s">
        <v>52</v>
      </c>
      <c r="C28" s="11" t="s">
        <v>53</v>
      </c>
      <c r="D28" s="11" t="s">
        <v>628</v>
      </c>
      <c r="E28" s="11">
        <v>1858636840</v>
      </c>
      <c r="F28" s="49">
        <v>0.9627</v>
      </c>
    </row>
    <row r="29" spans="1:7" x14ac:dyDescent="0.25">
      <c r="A29" s="3">
        <v>28</v>
      </c>
      <c r="B29" s="11" t="s">
        <v>39</v>
      </c>
      <c r="C29" s="11" t="s">
        <v>40</v>
      </c>
      <c r="D29" s="11" t="s">
        <v>461</v>
      </c>
      <c r="E29" s="11">
        <v>814523002</v>
      </c>
      <c r="F29" s="49">
        <v>0.95150000000000001</v>
      </c>
    </row>
    <row r="30" spans="1:7" x14ac:dyDescent="0.25">
      <c r="A30" s="3">
        <v>29</v>
      </c>
      <c r="B30" s="11" t="s">
        <v>189</v>
      </c>
      <c r="C30" s="11" t="s">
        <v>190</v>
      </c>
      <c r="D30" s="11" t="s">
        <v>621</v>
      </c>
      <c r="E30" s="11">
        <v>407257128</v>
      </c>
      <c r="F30" s="49">
        <v>0.94010000000000005</v>
      </c>
    </row>
    <row r="31" spans="1:7" x14ac:dyDescent="0.25">
      <c r="A31" s="3">
        <v>30</v>
      </c>
      <c r="B31" s="11" t="s">
        <v>18</v>
      </c>
      <c r="C31" s="11" t="s">
        <v>19</v>
      </c>
      <c r="D31" s="11" t="s">
        <v>470</v>
      </c>
      <c r="E31" s="11">
        <v>1484426957</v>
      </c>
      <c r="F31" s="49">
        <v>0.93479999999999996</v>
      </c>
    </row>
    <row r="32" spans="1:7" x14ac:dyDescent="0.25">
      <c r="A32" s="3">
        <v>31</v>
      </c>
      <c r="B32" s="11" t="s">
        <v>87</v>
      </c>
      <c r="C32" s="11" t="s">
        <v>88</v>
      </c>
      <c r="D32" s="11" t="s">
        <v>461</v>
      </c>
      <c r="E32" s="11">
        <v>1579821370</v>
      </c>
      <c r="F32" s="49">
        <v>0.92379999999999995</v>
      </c>
    </row>
    <row r="33" spans="1:6" x14ac:dyDescent="0.25">
      <c r="A33" s="3">
        <v>32</v>
      </c>
      <c r="B33" s="11" t="s">
        <v>105</v>
      </c>
      <c r="C33" s="11" t="s">
        <v>106</v>
      </c>
      <c r="D33" s="11" t="s">
        <v>461</v>
      </c>
      <c r="E33" s="11">
        <v>4779395040</v>
      </c>
      <c r="F33" s="49">
        <v>0.90249999999999997</v>
      </c>
    </row>
    <row r="34" spans="1:6" x14ac:dyDescent="0.25">
      <c r="A34" s="3">
        <v>33</v>
      </c>
      <c r="B34" s="11" t="s">
        <v>60</v>
      </c>
      <c r="C34" s="11" t="s">
        <v>61</v>
      </c>
      <c r="D34" s="11" t="s">
        <v>468</v>
      </c>
      <c r="E34" s="11">
        <v>1679233590</v>
      </c>
      <c r="F34" s="49">
        <v>0.78</v>
      </c>
    </row>
    <row r="35" spans="1:6" x14ac:dyDescent="0.25">
      <c r="A35" s="3">
        <v>34</v>
      </c>
      <c r="B35" s="11" t="s">
        <v>124</v>
      </c>
      <c r="C35" s="11" t="s">
        <v>125</v>
      </c>
      <c r="D35" s="11" t="s">
        <v>465</v>
      </c>
      <c r="E35" s="11">
        <v>765785673</v>
      </c>
      <c r="F35" s="49">
        <v>0.73629999999999995</v>
      </c>
    </row>
    <row r="36" spans="1:6" x14ac:dyDescent="0.25">
      <c r="A36" s="3">
        <v>35</v>
      </c>
      <c r="B36" s="11" t="s">
        <v>130</v>
      </c>
      <c r="C36" s="11" t="s">
        <v>131</v>
      </c>
      <c r="D36" s="11" t="s">
        <v>461</v>
      </c>
      <c r="E36" s="11">
        <v>952487418</v>
      </c>
      <c r="F36" s="49">
        <v>0.72160000000000002</v>
      </c>
    </row>
    <row r="37" spans="1:6" x14ac:dyDescent="0.25">
      <c r="A37" s="3">
        <v>36</v>
      </c>
      <c r="B37" s="11" t="s">
        <v>178</v>
      </c>
      <c r="C37" s="11" t="s">
        <v>179</v>
      </c>
      <c r="D37" s="11" t="s">
        <v>461</v>
      </c>
      <c r="E37" s="11">
        <v>540206440</v>
      </c>
      <c r="F37" s="49">
        <v>0.72109999999999996</v>
      </c>
    </row>
    <row r="38" spans="1:6" x14ac:dyDescent="0.25">
      <c r="A38" s="3">
        <v>37</v>
      </c>
      <c r="B38" s="11" t="s">
        <v>65</v>
      </c>
      <c r="C38" s="11" t="s">
        <v>66</v>
      </c>
      <c r="D38" s="11" t="s">
        <v>461</v>
      </c>
      <c r="E38" s="11">
        <v>1165337843</v>
      </c>
      <c r="F38" s="49">
        <v>0.69340000000000002</v>
      </c>
    </row>
    <row r="39" spans="1:6" x14ac:dyDescent="0.25">
      <c r="A39" s="3">
        <v>38</v>
      </c>
      <c r="B39" s="11" t="s">
        <v>89</v>
      </c>
      <c r="C39" s="11" t="s">
        <v>90</v>
      </c>
      <c r="D39" s="11" t="s">
        <v>465</v>
      </c>
      <c r="E39" s="11">
        <v>326175300</v>
      </c>
      <c r="F39" s="49">
        <v>0.68730000000000002</v>
      </c>
    </row>
    <row r="40" spans="1:6" x14ac:dyDescent="0.25">
      <c r="A40" s="3">
        <v>39</v>
      </c>
      <c r="B40" s="11" t="s">
        <v>176</v>
      </c>
      <c r="C40" s="11" t="s">
        <v>177</v>
      </c>
      <c r="D40" s="11" t="s">
        <v>461</v>
      </c>
      <c r="E40" s="11">
        <v>807495418</v>
      </c>
      <c r="F40" s="49">
        <v>0.64229999999999998</v>
      </c>
    </row>
    <row r="41" spans="1:6" x14ac:dyDescent="0.25">
      <c r="A41" s="3">
        <v>40</v>
      </c>
      <c r="B41" s="11" t="s">
        <v>48</v>
      </c>
      <c r="C41" s="11" t="s">
        <v>49</v>
      </c>
      <c r="D41" s="11" t="s">
        <v>461</v>
      </c>
      <c r="E41" s="11">
        <v>991920937</v>
      </c>
      <c r="F41" s="49">
        <v>0.58530000000000004</v>
      </c>
    </row>
    <row r="42" spans="1:6" x14ac:dyDescent="0.25">
      <c r="A42" s="3">
        <v>41</v>
      </c>
      <c r="B42" s="11" t="s">
        <v>9</v>
      </c>
      <c r="C42" s="11" t="s">
        <v>10</v>
      </c>
      <c r="D42" s="11" t="s">
        <v>461</v>
      </c>
      <c r="E42" s="11">
        <v>1349687675</v>
      </c>
      <c r="F42" s="49">
        <v>0.57530000000000003</v>
      </c>
    </row>
    <row r="43" spans="1:6" x14ac:dyDescent="0.25">
      <c r="A43" s="3">
        <v>42</v>
      </c>
      <c r="B43" s="11" t="s">
        <v>82</v>
      </c>
      <c r="C43" s="11" t="s">
        <v>80</v>
      </c>
      <c r="D43" s="11" t="s">
        <v>471</v>
      </c>
      <c r="E43" s="11">
        <v>268733136</v>
      </c>
      <c r="F43" s="49">
        <v>0.55220000000000002</v>
      </c>
    </row>
    <row r="44" spans="1:6" x14ac:dyDescent="0.25">
      <c r="A44" s="3">
        <v>43</v>
      </c>
      <c r="B44" s="11" t="s">
        <v>208</v>
      </c>
      <c r="C44" s="11" t="s">
        <v>209</v>
      </c>
      <c r="D44" s="11" t="s">
        <v>461</v>
      </c>
      <c r="E44" s="11">
        <v>463981130</v>
      </c>
      <c r="F44" s="49">
        <v>0.54490000000000005</v>
      </c>
    </row>
    <row r="45" spans="1:6" x14ac:dyDescent="0.25">
      <c r="A45" s="3">
        <v>44</v>
      </c>
      <c r="B45" s="11" t="s">
        <v>109</v>
      </c>
      <c r="C45" s="11" t="s">
        <v>110</v>
      </c>
      <c r="D45" s="11" t="s">
        <v>461</v>
      </c>
      <c r="E45" s="11">
        <v>409310634</v>
      </c>
      <c r="F45" s="49">
        <v>0.52029999999999998</v>
      </c>
    </row>
    <row r="46" spans="1:6" x14ac:dyDescent="0.25">
      <c r="A46" s="3">
        <v>45</v>
      </c>
      <c r="B46" s="11" t="s">
        <v>77</v>
      </c>
      <c r="C46" s="11" t="s">
        <v>78</v>
      </c>
      <c r="D46" s="11" t="s">
        <v>464</v>
      </c>
      <c r="E46" s="11">
        <v>255236938</v>
      </c>
      <c r="F46" s="49">
        <v>0.51329999999999998</v>
      </c>
    </row>
    <row r="47" spans="1:6" x14ac:dyDescent="0.25">
      <c r="A47" s="3">
        <v>46</v>
      </c>
      <c r="B47" s="11" t="s">
        <v>143</v>
      </c>
      <c r="C47" s="11" t="s">
        <v>144</v>
      </c>
      <c r="D47" s="11" t="s">
        <v>461</v>
      </c>
      <c r="E47" s="11">
        <v>849350756</v>
      </c>
      <c r="F47" s="49">
        <v>0.51249999999999996</v>
      </c>
    </row>
    <row r="48" spans="1:6" x14ac:dyDescent="0.25">
      <c r="A48" s="3">
        <v>47</v>
      </c>
      <c r="B48" s="11" t="s">
        <v>221</v>
      </c>
      <c r="C48" s="11" t="s">
        <v>222</v>
      </c>
      <c r="D48" s="11" t="s">
        <v>461</v>
      </c>
      <c r="E48" s="11">
        <v>502481592</v>
      </c>
      <c r="F48" s="49">
        <v>0.51039999999999996</v>
      </c>
    </row>
    <row r="49" spans="1:6" x14ac:dyDescent="0.25">
      <c r="A49" s="3">
        <v>48</v>
      </c>
      <c r="B49" s="11" t="s">
        <v>164</v>
      </c>
      <c r="C49" s="11" t="s">
        <v>165</v>
      </c>
      <c r="D49" s="11" t="s">
        <v>166</v>
      </c>
      <c r="E49" s="11">
        <v>356586730</v>
      </c>
      <c r="F49" s="49">
        <v>0.49869999999999998</v>
      </c>
    </row>
    <row r="50" spans="1:6" x14ac:dyDescent="0.25">
      <c r="A50" s="3">
        <v>49</v>
      </c>
      <c r="B50" s="11" t="s">
        <v>285</v>
      </c>
      <c r="C50" s="11" t="s">
        <v>286</v>
      </c>
      <c r="D50" s="11" t="s">
        <v>461</v>
      </c>
      <c r="E50" s="11">
        <v>855712622</v>
      </c>
      <c r="F50" s="49">
        <v>0.49540000000000001</v>
      </c>
    </row>
    <row r="51" spans="1:6" x14ac:dyDescent="0.25">
      <c r="A51" s="3">
        <v>50</v>
      </c>
      <c r="B51" s="11" t="s">
        <v>225</v>
      </c>
      <c r="C51" s="11" t="s">
        <v>226</v>
      </c>
      <c r="D51" s="11" t="s">
        <v>462</v>
      </c>
      <c r="E51" s="11">
        <v>395801044</v>
      </c>
      <c r="F51" s="49">
        <v>0.43559999999999999</v>
      </c>
    </row>
    <row r="52" spans="1:6" x14ac:dyDescent="0.25">
      <c r="A52" s="3">
        <v>51</v>
      </c>
      <c r="B52" s="11" t="s">
        <v>67</v>
      </c>
      <c r="C52" s="11" t="s">
        <v>68</v>
      </c>
      <c r="D52" s="11" t="s">
        <v>2</v>
      </c>
      <c r="E52" s="11">
        <v>736268400</v>
      </c>
      <c r="F52" s="49">
        <v>0.38890000000000002</v>
      </c>
    </row>
    <row r="53" spans="1:6" x14ac:dyDescent="0.25">
      <c r="A53" s="3">
        <v>52</v>
      </c>
      <c r="B53" s="11" t="s">
        <v>245</v>
      </c>
      <c r="C53" s="11" t="s">
        <v>246</v>
      </c>
      <c r="D53" s="11" t="s">
        <v>461</v>
      </c>
      <c r="E53" s="11">
        <v>517500000</v>
      </c>
      <c r="F53" s="49">
        <v>0.37680000000000002</v>
      </c>
    </row>
    <row r="54" spans="1:6" x14ac:dyDescent="0.25">
      <c r="A54" s="3">
        <v>53</v>
      </c>
      <c r="B54" s="11" t="s">
        <v>140</v>
      </c>
      <c r="C54" s="11" t="s">
        <v>141</v>
      </c>
      <c r="D54" s="11" t="s">
        <v>469</v>
      </c>
      <c r="E54" s="11">
        <v>318010631</v>
      </c>
      <c r="F54" s="49">
        <v>0.36309999999999998</v>
      </c>
    </row>
    <row r="55" spans="1:6" x14ac:dyDescent="0.25">
      <c r="A55" s="3">
        <v>54</v>
      </c>
      <c r="B55" s="11" t="s">
        <v>173</v>
      </c>
      <c r="C55" s="11" t="s">
        <v>174</v>
      </c>
      <c r="D55" s="11" t="s">
        <v>465</v>
      </c>
      <c r="E55" s="11">
        <v>218568234</v>
      </c>
      <c r="F55" s="49">
        <v>0.34510000000000002</v>
      </c>
    </row>
    <row r="56" spans="1:6" x14ac:dyDescent="0.25">
      <c r="A56" s="3">
        <v>55</v>
      </c>
      <c r="B56" s="11" t="s">
        <v>95</v>
      </c>
      <c r="C56" s="11" t="s">
        <v>96</v>
      </c>
      <c r="D56" s="11" t="s">
        <v>461</v>
      </c>
      <c r="E56" s="11">
        <v>464420650</v>
      </c>
      <c r="F56" s="49">
        <v>0.32990000000000003</v>
      </c>
    </row>
    <row r="57" spans="1:6" x14ac:dyDescent="0.25">
      <c r="A57" s="3">
        <v>56</v>
      </c>
      <c r="B57" s="11" t="s">
        <v>101</v>
      </c>
      <c r="C57" s="11" t="s">
        <v>102</v>
      </c>
      <c r="D57" s="11" t="s">
        <v>462</v>
      </c>
      <c r="E57" s="11">
        <v>661577619</v>
      </c>
      <c r="F57" s="49">
        <v>0.30909999999999999</v>
      </c>
    </row>
    <row r="58" spans="1:6" x14ac:dyDescent="0.25">
      <c r="A58" s="3">
        <v>57</v>
      </c>
      <c r="B58" s="11" t="s">
        <v>56</v>
      </c>
      <c r="C58" s="11" t="s">
        <v>57</v>
      </c>
      <c r="D58" s="11" t="s">
        <v>461</v>
      </c>
      <c r="E58" s="11">
        <v>187732538</v>
      </c>
      <c r="F58" s="49">
        <v>0.28499999999999998</v>
      </c>
    </row>
    <row r="59" spans="1:6" x14ac:dyDescent="0.25">
      <c r="A59" s="3">
        <v>58</v>
      </c>
      <c r="B59" s="11" t="s">
        <v>199</v>
      </c>
      <c r="C59" s="11" t="s">
        <v>200</v>
      </c>
      <c r="D59" s="11" t="s">
        <v>469</v>
      </c>
      <c r="E59" s="11">
        <v>1110559345</v>
      </c>
      <c r="F59" s="49">
        <v>0.28089999999999998</v>
      </c>
    </row>
    <row r="60" spans="1:6" x14ac:dyDescent="0.25">
      <c r="A60" s="3">
        <v>59</v>
      </c>
      <c r="B60" s="11" t="s">
        <v>234</v>
      </c>
      <c r="C60" s="11" t="s">
        <v>235</v>
      </c>
      <c r="D60" s="11" t="s">
        <v>461</v>
      </c>
      <c r="E60" s="11">
        <v>127330493</v>
      </c>
      <c r="F60" s="49">
        <v>0.27779999999999999</v>
      </c>
    </row>
    <row r="61" spans="1:6" x14ac:dyDescent="0.25">
      <c r="A61" s="3">
        <v>60</v>
      </c>
      <c r="B61" s="11" t="s">
        <v>71</v>
      </c>
      <c r="C61" s="11" t="s">
        <v>72</v>
      </c>
      <c r="D61" s="11" t="s">
        <v>461</v>
      </c>
      <c r="E61" s="11">
        <v>264710610</v>
      </c>
      <c r="F61" s="49">
        <v>0.25719999999999998</v>
      </c>
    </row>
    <row r="62" spans="1:6" x14ac:dyDescent="0.25">
      <c r="A62" s="3">
        <v>61</v>
      </c>
      <c r="B62" s="11" t="s">
        <v>206</v>
      </c>
      <c r="C62" s="11" t="s">
        <v>207</v>
      </c>
      <c r="D62" s="11" t="s">
        <v>461</v>
      </c>
      <c r="E62" s="11">
        <v>275699226</v>
      </c>
      <c r="F62" s="49">
        <v>0.2505</v>
      </c>
    </row>
    <row r="63" spans="1:6" x14ac:dyDescent="0.25">
      <c r="A63" s="3">
        <v>62</v>
      </c>
      <c r="B63" s="11" t="s">
        <v>35</v>
      </c>
      <c r="C63" s="11" t="s">
        <v>36</v>
      </c>
      <c r="D63" s="11" t="s">
        <v>462</v>
      </c>
      <c r="E63" s="11">
        <v>250969312</v>
      </c>
      <c r="F63" s="49">
        <v>0.21759999999999999</v>
      </c>
    </row>
    <row r="64" spans="1:6" x14ac:dyDescent="0.25">
      <c r="A64" s="3">
        <v>63</v>
      </c>
      <c r="B64" s="11" t="s">
        <v>41</v>
      </c>
      <c r="C64" s="11" t="s">
        <v>42</v>
      </c>
      <c r="D64" s="11" t="s">
        <v>467</v>
      </c>
      <c r="E64" s="11">
        <v>265388400</v>
      </c>
      <c r="F64" s="49">
        <v>0.2132</v>
      </c>
    </row>
    <row r="65" spans="1:6" x14ac:dyDescent="0.25">
      <c r="A65" s="3">
        <v>64</v>
      </c>
      <c r="B65" s="11" t="s">
        <v>63</v>
      </c>
      <c r="C65" s="11" t="s">
        <v>64</v>
      </c>
      <c r="D65" s="11" t="s">
        <v>461</v>
      </c>
      <c r="E65" s="11">
        <v>531901983</v>
      </c>
      <c r="F65" s="49">
        <v>0.21249999999999999</v>
      </c>
    </row>
    <row r="66" spans="1:6" x14ac:dyDescent="0.25">
      <c r="A66" s="3">
        <v>65</v>
      </c>
      <c r="B66" s="11" t="s">
        <v>201</v>
      </c>
      <c r="C66" s="11" t="s">
        <v>202</v>
      </c>
      <c r="D66" s="11" t="s">
        <v>620</v>
      </c>
      <c r="E66" s="11">
        <v>211468849</v>
      </c>
      <c r="F66" s="49">
        <v>0.20799999999999999</v>
      </c>
    </row>
    <row r="67" spans="1:6" x14ac:dyDescent="0.25">
      <c r="A67" s="3">
        <v>66</v>
      </c>
      <c r="B67" s="11" t="s">
        <v>136</v>
      </c>
      <c r="C67" s="11" t="s">
        <v>137</v>
      </c>
      <c r="D67" s="11" t="s">
        <v>461</v>
      </c>
      <c r="E67" s="11">
        <v>302019876</v>
      </c>
      <c r="F67" s="49">
        <v>0.1958</v>
      </c>
    </row>
    <row r="68" spans="1:6" x14ac:dyDescent="0.25">
      <c r="A68" s="3">
        <v>67</v>
      </c>
      <c r="B68" s="11" t="s">
        <v>134</v>
      </c>
      <c r="C68" s="11" t="s">
        <v>135</v>
      </c>
      <c r="D68" s="11" t="s">
        <v>461</v>
      </c>
      <c r="E68" s="11">
        <v>353448195</v>
      </c>
      <c r="F68" s="49">
        <v>0.19139999999999999</v>
      </c>
    </row>
    <row r="69" spans="1:6" x14ac:dyDescent="0.25">
      <c r="A69" s="3">
        <v>68</v>
      </c>
      <c r="B69" s="11" t="s">
        <v>113</v>
      </c>
      <c r="C69" s="11" t="s">
        <v>114</v>
      </c>
      <c r="D69" s="11" t="s">
        <v>461</v>
      </c>
      <c r="E69" s="11">
        <v>81838243</v>
      </c>
      <c r="F69" s="49">
        <v>0.17630000000000001</v>
      </c>
    </row>
    <row r="70" spans="1:6" x14ac:dyDescent="0.25">
      <c r="A70" s="3">
        <v>69</v>
      </c>
      <c r="B70" s="11" t="s">
        <v>212</v>
      </c>
      <c r="C70" s="11" t="s">
        <v>213</v>
      </c>
      <c r="D70" s="11" t="s">
        <v>461</v>
      </c>
      <c r="E70" s="11">
        <v>142348116</v>
      </c>
      <c r="F70" s="49">
        <v>0.1757</v>
      </c>
    </row>
    <row r="71" spans="1:6" x14ac:dyDescent="0.25">
      <c r="A71" s="3">
        <v>70</v>
      </c>
      <c r="B71" s="11" t="s">
        <v>204</v>
      </c>
      <c r="C71" s="11" t="s">
        <v>205</v>
      </c>
      <c r="D71" s="11" t="s">
        <v>463</v>
      </c>
      <c r="E71" s="11">
        <v>1192947233</v>
      </c>
      <c r="F71" s="49">
        <v>0.17050000000000001</v>
      </c>
    </row>
    <row r="72" spans="1:6" x14ac:dyDescent="0.25">
      <c r="A72" s="3">
        <v>71</v>
      </c>
      <c r="B72" s="11" t="s">
        <v>216</v>
      </c>
      <c r="C72" s="11" t="s">
        <v>217</v>
      </c>
      <c r="D72" s="11" t="s">
        <v>461</v>
      </c>
      <c r="E72" s="11">
        <v>485166826</v>
      </c>
      <c r="F72" s="49">
        <v>0.16420000000000001</v>
      </c>
    </row>
    <row r="73" spans="1:6" x14ac:dyDescent="0.25">
      <c r="A73" s="3">
        <v>72</v>
      </c>
      <c r="B73" s="11" t="s">
        <v>210</v>
      </c>
      <c r="C73" s="11" t="s">
        <v>211</v>
      </c>
      <c r="D73" s="11" t="s">
        <v>461</v>
      </c>
      <c r="E73" s="11">
        <v>194261422</v>
      </c>
      <c r="F73" s="49">
        <v>0.15279999999999999</v>
      </c>
    </row>
    <row r="74" spans="1:6" x14ac:dyDescent="0.25">
      <c r="A74" s="3">
        <v>73</v>
      </c>
      <c r="B74" s="11" t="s">
        <v>228</v>
      </c>
      <c r="C74" s="11" t="s">
        <v>229</v>
      </c>
      <c r="D74" s="11" t="s">
        <v>461</v>
      </c>
      <c r="E74" s="11">
        <v>125823025</v>
      </c>
      <c r="F74" s="49">
        <v>0.14799999999999999</v>
      </c>
    </row>
    <row r="75" spans="1:6" x14ac:dyDescent="0.25">
      <c r="A75" s="3">
        <v>74</v>
      </c>
      <c r="B75" s="11" t="s">
        <v>231</v>
      </c>
      <c r="C75" s="11" t="s">
        <v>232</v>
      </c>
      <c r="D75" s="11" t="s">
        <v>461</v>
      </c>
      <c r="E75" s="11">
        <v>291727616</v>
      </c>
      <c r="F75" s="49">
        <v>0.1479</v>
      </c>
    </row>
    <row r="76" spans="1:6" x14ac:dyDescent="0.25">
      <c r="A76" s="3">
        <v>75</v>
      </c>
      <c r="B76" s="11" t="s">
        <v>182</v>
      </c>
      <c r="C76" s="11" t="s">
        <v>183</v>
      </c>
      <c r="D76" s="11" t="s">
        <v>467</v>
      </c>
      <c r="E76" s="11">
        <v>515193199</v>
      </c>
      <c r="F76" s="49">
        <v>0.1429</v>
      </c>
    </row>
    <row r="77" spans="1:6" x14ac:dyDescent="0.25">
      <c r="A77" s="3">
        <v>76</v>
      </c>
      <c r="B77" s="11" t="s">
        <v>193</v>
      </c>
      <c r="C77" s="11" t="s">
        <v>194</v>
      </c>
      <c r="D77" s="11" t="s">
        <v>461</v>
      </c>
      <c r="E77" s="11">
        <v>290010465</v>
      </c>
      <c r="F77" s="49">
        <v>0.12720000000000001</v>
      </c>
    </row>
    <row r="78" spans="1:6" x14ac:dyDescent="0.25">
      <c r="A78" s="3">
        <v>77</v>
      </c>
      <c r="B78" s="11" t="s">
        <v>138</v>
      </c>
      <c r="C78" s="11" t="s">
        <v>139</v>
      </c>
      <c r="D78" s="11" t="s">
        <v>461</v>
      </c>
      <c r="E78" s="11">
        <v>375335828</v>
      </c>
      <c r="F78" s="49">
        <v>0.12479999999999999</v>
      </c>
    </row>
    <row r="79" spans="1:6" x14ac:dyDescent="0.25">
      <c r="A79" s="3">
        <v>78</v>
      </c>
      <c r="B79" s="11" t="s">
        <v>54</v>
      </c>
      <c r="C79" s="11" t="s">
        <v>55</v>
      </c>
      <c r="D79" s="11" t="s">
        <v>461</v>
      </c>
      <c r="E79" s="11">
        <v>1872454628</v>
      </c>
      <c r="F79" s="49">
        <v>0.1142</v>
      </c>
    </row>
    <row r="80" spans="1:6" x14ac:dyDescent="0.25">
      <c r="A80" s="3">
        <v>79</v>
      </c>
      <c r="B80" s="11" t="s">
        <v>25</v>
      </c>
      <c r="C80" s="11" t="s">
        <v>26</v>
      </c>
      <c r="D80" s="11" t="s">
        <v>461</v>
      </c>
      <c r="E80" s="11">
        <v>261359935</v>
      </c>
      <c r="F80" s="49">
        <v>8.7099999999999997E-2</v>
      </c>
    </row>
    <row r="81" spans="1:6" x14ac:dyDescent="0.25">
      <c r="A81" s="3">
        <v>80</v>
      </c>
      <c r="B81" s="11" t="s">
        <v>132</v>
      </c>
      <c r="C81" s="11" t="s">
        <v>224</v>
      </c>
      <c r="D81" s="11" t="s">
        <v>461</v>
      </c>
      <c r="E81" s="11">
        <v>420626825</v>
      </c>
      <c r="F81" s="49">
        <v>8.5199999999999998E-2</v>
      </c>
    </row>
    <row r="82" spans="1:6" x14ac:dyDescent="0.25">
      <c r="A82" s="3">
        <v>81</v>
      </c>
      <c r="B82" s="11" t="s">
        <v>11</v>
      </c>
      <c r="C82" s="11" t="s">
        <v>12</v>
      </c>
      <c r="D82" s="11" t="s">
        <v>463</v>
      </c>
      <c r="E82" s="11">
        <v>328421113</v>
      </c>
      <c r="F82" s="49">
        <v>7.8799999999999995E-2</v>
      </c>
    </row>
    <row r="83" spans="1:6" x14ac:dyDescent="0.25">
      <c r="A83" s="3">
        <v>82</v>
      </c>
      <c r="B83" s="11" t="s">
        <v>150</v>
      </c>
      <c r="C83" s="11" t="s">
        <v>151</v>
      </c>
      <c r="D83" s="11" t="s">
        <v>461</v>
      </c>
      <c r="E83" s="11">
        <v>307729428</v>
      </c>
      <c r="F83" s="49">
        <v>6.6600000000000006E-2</v>
      </c>
    </row>
    <row r="84" spans="1:6" x14ac:dyDescent="0.25">
      <c r="A84" s="3">
        <v>83</v>
      </c>
      <c r="B84" s="11" t="s">
        <v>93</v>
      </c>
      <c r="C84" s="11" t="s">
        <v>94</v>
      </c>
      <c r="D84" s="11" t="s">
        <v>461</v>
      </c>
      <c r="E84" s="11">
        <v>97334950</v>
      </c>
      <c r="F84" s="49">
        <v>6.0999999999999999E-2</v>
      </c>
    </row>
    <row r="85" spans="1:6" x14ac:dyDescent="0.25">
      <c r="A85" s="3">
        <v>84</v>
      </c>
      <c r="B85" s="11" t="s">
        <v>3</v>
      </c>
      <c r="C85" s="11" t="s">
        <v>4</v>
      </c>
      <c r="D85" s="11" t="s">
        <v>462</v>
      </c>
      <c r="E85" s="11">
        <v>166460180</v>
      </c>
      <c r="F85" s="49">
        <v>5.7000000000000002E-2</v>
      </c>
    </row>
    <row r="86" spans="1:6" x14ac:dyDescent="0.25">
      <c r="A86" s="3">
        <v>85</v>
      </c>
      <c r="B86" s="11" t="s">
        <v>145</v>
      </c>
      <c r="C86" s="11" t="s">
        <v>146</v>
      </c>
      <c r="D86" s="11" t="s">
        <v>461</v>
      </c>
      <c r="E86" s="11">
        <v>379327171</v>
      </c>
      <c r="F86" s="49">
        <v>5.28E-2</v>
      </c>
    </row>
    <row r="87" spans="1:6" x14ac:dyDescent="0.25">
      <c r="A87" s="3">
        <v>86</v>
      </c>
      <c r="B87" s="11" t="s">
        <v>69</v>
      </c>
      <c r="C87" s="11" t="s">
        <v>70</v>
      </c>
      <c r="D87" s="11" t="s">
        <v>461</v>
      </c>
      <c r="E87" s="11">
        <v>525591097</v>
      </c>
      <c r="F87" s="49">
        <v>4.6100000000000002E-2</v>
      </c>
    </row>
    <row r="88" spans="1:6" x14ac:dyDescent="0.25">
      <c r="B88" s="11"/>
      <c r="C88" s="11"/>
      <c r="D88" s="11"/>
      <c r="E88" s="11"/>
      <c r="F88" s="11"/>
    </row>
  </sheetData>
  <sortState xmlns:xlrd2="http://schemas.microsoft.com/office/spreadsheetml/2017/richdata2" ref="B2:F88">
    <sortCondition descending="1" ref="F1:F88"/>
  </sortState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8ABB1-DB9C-4758-83CB-C8980F53E991}">
  <dimension ref="A1:A30"/>
  <sheetViews>
    <sheetView topLeftCell="A11" workbookViewId="0">
      <selection sqref="A1:A3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14</v>
      </c>
    </row>
    <row r="3" spans="1:1" x14ac:dyDescent="0.25">
      <c r="A3" t="s">
        <v>16</v>
      </c>
    </row>
    <row r="4" spans="1:1" x14ac:dyDescent="0.25">
      <c r="A4" t="s">
        <v>18</v>
      </c>
    </row>
    <row r="5" spans="1:1" x14ac:dyDescent="0.25">
      <c r="A5" t="s">
        <v>21</v>
      </c>
    </row>
    <row r="6" spans="1:1" x14ac:dyDescent="0.25">
      <c r="A6" t="s">
        <v>23</v>
      </c>
    </row>
    <row r="7" spans="1:1" x14ac:dyDescent="0.25">
      <c r="A7" t="s">
        <v>31</v>
      </c>
    </row>
    <row r="8" spans="1:1" x14ac:dyDescent="0.25">
      <c r="A8" t="s">
        <v>52</v>
      </c>
    </row>
    <row r="9" spans="1:1" x14ac:dyDescent="0.25">
      <c r="A9" t="s">
        <v>65</v>
      </c>
    </row>
    <row r="10" spans="1:1" x14ac:dyDescent="0.25">
      <c r="A10" t="s">
        <v>79</v>
      </c>
    </row>
    <row r="11" spans="1:1" x14ac:dyDescent="0.25">
      <c r="A11" t="s">
        <v>87</v>
      </c>
    </row>
    <row r="12" spans="1:1" x14ac:dyDescent="0.25">
      <c r="A12" t="s">
        <v>91</v>
      </c>
    </row>
    <row r="13" spans="1:1" x14ac:dyDescent="0.25">
      <c r="A13" t="s">
        <v>97</v>
      </c>
    </row>
    <row r="14" spans="1:1" x14ac:dyDescent="0.25">
      <c r="A14" t="s">
        <v>105</v>
      </c>
    </row>
    <row r="15" spans="1:1" x14ac:dyDescent="0.25">
      <c r="A15" t="s">
        <v>115</v>
      </c>
    </row>
    <row r="16" spans="1:1" x14ac:dyDescent="0.25">
      <c r="A16" t="s">
        <v>118</v>
      </c>
    </row>
    <row r="17" spans="1:1" x14ac:dyDescent="0.25">
      <c r="A17" t="s">
        <v>120</v>
      </c>
    </row>
    <row r="18" spans="1:1" x14ac:dyDescent="0.25">
      <c r="A18" t="s">
        <v>147</v>
      </c>
    </row>
    <row r="19" spans="1:1" x14ac:dyDescent="0.25">
      <c r="A19" t="s">
        <v>149</v>
      </c>
    </row>
    <row r="20" spans="1:1" x14ac:dyDescent="0.25">
      <c r="A20" t="s">
        <v>152</v>
      </c>
    </row>
    <row r="21" spans="1:1" x14ac:dyDescent="0.25">
      <c r="A21" t="s">
        <v>156</v>
      </c>
    </row>
    <row r="22" spans="1:1" x14ac:dyDescent="0.25">
      <c r="A22" t="s">
        <v>158</v>
      </c>
    </row>
    <row r="23" spans="1:1" x14ac:dyDescent="0.25">
      <c r="A23" t="s">
        <v>160</v>
      </c>
    </row>
    <row r="24" spans="1:1" x14ac:dyDescent="0.25">
      <c r="A24" t="s">
        <v>162</v>
      </c>
    </row>
    <row r="25" spans="1:1" x14ac:dyDescent="0.25">
      <c r="A25" t="s">
        <v>167</v>
      </c>
    </row>
    <row r="26" spans="1:1" x14ac:dyDescent="0.25">
      <c r="A26" t="s">
        <v>171</v>
      </c>
    </row>
    <row r="27" spans="1:1" x14ac:dyDescent="0.25">
      <c r="A27" t="s">
        <v>180</v>
      </c>
    </row>
    <row r="28" spans="1:1" x14ac:dyDescent="0.25">
      <c r="A28" t="s">
        <v>185</v>
      </c>
    </row>
    <row r="29" spans="1:1" x14ac:dyDescent="0.25">
      <c r="A29" t="s">
        <v>218</v>
      </c>
    </row>
    <row r="30" spans="1:1" x14ac:dyDescent="0.25">
      <c r="A30" t="s">
        <v>191</v>
      </c>
    </row>
  </sheetData>
  <sortState xmlns:xlrd2="http://schemas.microsoft.com/office/spreadsheetml/2017/richdata2" ref="A1:A30">
    <sortCondition ref="A1:A30"/>
  </sortState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61378-6976-4FCC-9FC6-BA439F24EFEA}">
  <dimension ref="A1:G85"/>
  <sheetViews>
    <sheetView workbookViewId="0">
      <selection activeCell="L11" sqref="L11"/>
    </sheetView>
  </sheetViews>
  <sheetFormatPr defaultRowHeight="12.75" x14ac:dyDescent="0.2"/>
  <cols>
    <col min="1" max="1" width="9.140625" style="11"/>
    <col min="2" max="2" width="8.7109375" style="11" customWidth="1"/>
    <col min="3" max="3" width="16.5703125" style="11" customWidth="1"/>
    <col min="4" max="4" width="11.5703125" style="11" customWidth="1"/>
    <col min="5" max="5" width="13.7109375" style="55" customWidth="1"/>
    <col min="6" max="6" width="11.5703125" style="49" customWidth="1"/>
    <col min="7" max="16384" width="9.140625" style="11"/>
  </cols>
  <sheetData>
    <row r="1" spans="1:7" x14ac:dyDescent="0.2">
      <c r="A1" s="11" t="s">
        <v>662</v>
      </c>
      <c r="B1" s="39" t="s">
        <v>622</v>
      </c>
      <c r="C1" s="39" t="s">
        <v>623</v>
      </c>
      <c r="D1" s="39" t="s">
        <v>626</v>
      </c>
      <c r="E1" s="53" t="s">
        <v>624</v>
      </c>
      <c r="F1" s="45" t="s">
        <v>625</v>
      </c>
    </row>
    <row r="2" spans="1:7" x14ac:dyDescent="0.2">
      <c r="A2" s="11">
        <v>1</v>
      </c>
      <c r="B2" s="4" t="s">
        <v>185</v>
      </c>
      <c r="C2" s="4" t="s">
        <v>186</v>
      </c>
      <c r="D2" s="4" t="s">
        <v>461</v>
      </c>
      <c r="E2" s="54">
        <v>4267772018</v>
      </c>
      <c r="F2" s="52">
        <v>11.102499999999999</v>
      </c>
    </row>
    <row r="3" spans="1:7" x14ac:dyDescent="0.2">
      <c r="A3" s="11">
        <v>2</v>
      </c>
      <c r="B3" s="4" t="s">
        <v>118</v>
      </c>
      <c r="C3" s="4" t="s">
        <v>119</v>
      </c>
      <c r="D3" s="4" t="s">
        <v>462</v>
      </c>
      <c r="E3" s="54">
        <v>4611334219</v>
      </c>
      <c r="F3" s="52">
        <v>8.3072999999999997</v>
      </c>
    </row>
    <row r="4" spans="1:7" x14ac:dyDescent="0.2">
      <c r="A4" s="11">
        <v>3</v>
      </c>
      <c r="B4" s="4" t="s">
        <v>149</v>
      </c>
      <c r="C4" s="4" t="s">
        <v>148</v>
      </c>
      <c r="D4" s="4" t="s">
        <v>631</v>
      </c>
      <c r="E4" s="54">
        <v>4410960450</v>
      </c>
      <c r="F4" s="52">
        <v>6.4231999999999996</v>
      </c>
    </row>
    <row r="5" spans="1:7" x14ac:dyDescent="0.2">
      <c r="A5" s="11">
        <v>4</v>
      </c>
      <c r="B5" s="4" t="s">
        <v>147</v>
      </c>
      <c r="C5" s="4" t="s">
        <v>148</v>
      </c>
      <c r="D5" s="4" t="s">
        <v>630</v>
      </c>
      <c r="E5" s="54">
        <v>2643091977</v>
      </c>
      <c r="F5" s="52">
        <v>4.1768000000000001</v>
      </c>
    </row>
    <row r="6" spans="1:7" x14ac:dyDescent="0.2">
      <c r="A6" s="11">
        <v>5</v>
      </c>
      <c r="B6" s="4" t="s">
        <v>21</v>
      </c>
      <c r="C6" s="4" t="s">
        <v>19</v>
      </c>
      <c r="D6" s="4" t="s">
        <v>462</v>
      </c>
      <c r="E6" s="54">
        <v>5106488516</v>
      </c>
      <c r="F6" s="52">
        <v>4.024</v>
      </c>
    </row>
    <row r="7" spans="1:7" x14ac:dyDescent="0.2">
      <c r="A7" s="11">
        <v>6</v>
      </c>
      <c r="B7" s="4" t="s">
        <v>79</v>
      </c>
      <c r="C7" s="4" t="s">
        <v>80</v>
      </c>
      <c r="D7" s="4" t="s">
        <v>470</v>
      </c>
      <c r="E7" s="54">
        <v>1821923647</v>
      </c>
      <c r="F7" s="52">
        <v>3.8405</v>
      </c>
    </row>
    <row r="8" spans="1:7" x14ac:dyDescent="0.2">
      <c r="A8" s="11">
        <v>7</v>
      </c>
      <c r="B8" s="4" t="s">
        <v>167</v>
      </c>
      <c r="C8" s="4" t="s">
        <v>168</v>
      </c>
      <c r="D8" s="4" t="s">
        <v>461</v>
      </c>
      <c r="E8" s="54">
        <v>596215913</v>
      </c>
      <c r="F8" s="52">
        <v>3.4195000000000002</v>
      </c>
    </row>
    <row r="9" spans="1:7" x14ac:dyDescent="0.2">
      <c r="A9" s="11">
        <v>8</v>
      </c>
      <c r="B9" s="4" t="s">
        <v>14</v>
      </c>
      <c r="C9" s="4" t="s">
        <v>15</v>
      </c>
      <c r="D9" s="4" t="s">
        <v>461</v>
      </c>
      <c r="E9" s="54">
        <v>5196371458</v>
      </c>
      <c r="F9" s="52">
        <v>3.1581000000000001</v>
      </c>
    </row>
    <row r="10" spans="1:7" x14ac:dyDescent="0.2">
      <c r="A10" s="11">
        <v>9</v>
      </c>
      <c r="B10" s="4" t="s">
        <v>115</v>
      </c>
      <c r="C10" s="4" t="s">
        <v>116</v>
      </c>
      <c r="D10" s="4" t="s">
        <v>462</v>
      </c>
      <c r="E10" s="54">
        <v>5853286928</v>
      </c>
      <c r="F10" s="52">
        <v>3.0695000000000001</v>
      </c>
    </row>
    <row r="11" spans="1:7" x14ac:dyDescent="0.2">
      <c r="A11" s="11">
        <v>10</v>
      </c>
      <c r="B11" s="4" t="s">
        <v>31</v>
      </c>
      <c r="C11" s="4" t="s">
        <v>32</v>
      </c>
      <c r="D11" s="4" t="s">
        <v>465</v>
      </c>
      <c r="E11" s="54">
        <v>1404794900</v>
      </c>
      <c r="F11" s="52">
        <v>2.9506999999999999</v>
      </c>
    </row>
    <row r="12" spans="1:7" x14ac:dyDescent="0.2">
      <c r="A12" s="11">
        <v>11</v>
      </c>
      <c r="B12" s="4" t="s">
        <v>16</v>
      </c>
      <c r="C12" s="4" t="s">
        <v>17</v>
      </c>
      <c r="D12" s="4" t="s">
        <v>461</v>
      </c>
      <c r="E12" s="54">
        <v>2842496541</v>
      </c>
      <c r="F12" s="52">
        <v>2.8468</v>
      </c>
    </row>
    <row r="13" spans="1:7" x14ac:dyDescent="0.2">
      <c r="A13" s="11">
        <v>12</v>
      </c>
      <c r="B13" s="4" t="s">
        <v>191</v>
      </c>
      <c r="C13" s="4" t="s">
        <v>192</v>
      </c>
      <c r="D13" s="4" t="s">
        <v>461</v>
      </c>
      <c r="E13" s="54">
        <v>1485954732</v>
      </c>
      <c r="F13" s="52">
        <v>2.6202000000000001</v>
      </c>
    </row>
    <row r="14" spans="1:7" x14ac:dyDescent="0.2">
      <c r="A14" s="11">
        <v>13</v>
      </c>
      <c r="B14" s="4" t="s">
        <v>83</v>
      </c>
      <c r="C14" s="4" t="s">
        <v>84</v>
      </c>
      <c r="D14" s="4" t="s">
        <v>461</v>
      </c>
      <c r="E14" s="54">
        <v>733564938</v>
      </c>
      <c r="F14" s="52">
        <v>2.6172</v>
      </c>
    </row>
    <row r="15" spans="1:7" x14ac:dyDescent="0.2">
      <c r="A15" s="11">
        <v>14</v>
      </c>
      <c r="B15" s="4" t="s">
        <v>0</v>
      </c>
      <c r="C15" s="4" t="s">
        <v>1</v>
      </c>
      <c r="D15" s="4" t="s">
        <v>2</v>
      </c>
      <c r="E15" s="54">
        <v>4273841357</v>
      </c>
      <c r="F15" s="52">
        <v>2.4714</v>
      </c>
      <c r="G15" s="49"/>
    </row>
    <row r="16" spans="1:7" x14ac:dyDescent="0.2">
      <c r="A16" s="11">
        <v>15</v>
      </c>
      <c r="B16" s="4" t="s">
        <v>91</v>
      </c>
      <c r="C16" s="4" t="s">
        <v>92</v>
      </c>
      <c r="D16" s="4" t="s">
        <v>461</v>
      </c>
      <c r="E16" s="54">
        <v>1246479596</v>
      </c>
      <c r="F16" s="52">
        <v>2.1343000000000001</v>
      </c>
      <c r="G16" s="49">
        <f>SUM(F2:F16)</f>
        <v>63.161999999999992</v>
      </c>
    </row>
    <row r="17" spans="1:7" x14ac:dyDescent="0.2">
      <c r="A17" s="11">
        <v>16</v>
      </c>
      <c r="B17" s="4" t="s">
        <v>160</v>
      </c>
      <c r="C17" s="4" t="s">
        <v>161</v>
      </c>
      <c r="D17" s="4" t="s">
        <v>461</v>
      </c>
      <c r="E17" s="54">
        <v>1091469308</v>
      </c>
      <c r="F17" s="52">
        <v>2.0114999999999998</v>
      </c>
    </row>
    <row r="18" spans="1:7" x14ac:dyDescent="0.2">
      <c r="A18" s="11">
        <v>17</v>
      </c>
      <c r="B18" s="4" t="s">
        <v>162</v>
      </c>
      <c r="C18" s="4" t="s">
        <v>163</v>
      </c>
      <c r="D18" s="4" t="s">
        <v>461</v>
      </c>
      <c r="E18" s="54">
        <v>977042684</v>
      </c>
      <c r="F18" s="52">
        <v>1.6395999999999999</v>
      </c>
    </row>
    <row r="19" spans="1:7" x14ac:dyDescent="0.2">
      <c r="A19" s="11">
        <v>18</v>
      </c>
      <c r="B19" s="4" t="s">
        <v>171</v>
      </c>
      <c r="C19" s="4" t="s">
        <v>172</v>
      </c>
      <c r="D19" s="4" t="s">
        <v>461</v>
      </c>
      <c r="E19" s="54">
        <v>645082079</v>
      </c>
      <c r="F19" s="52">
        <v>1.5842000000000001</v>
      </c>
    </row>
    <row r="20" spans="1:7" x14ac:dyDescent="0.2">
      <c r="A20" s="11">
        <v>19</v>
      </c>
      <c r="B20" s="4" t="s">
        <v>87</v>
      </c>
      <c r="C20" s="4" t="s">
        <v>88</v>
      </c>
      <c r="D20" s="4" t="s">
        <v>461</v>
      </c>
      <c r="E20" s="54">
        <v>1912620486</v>
      </c>
      <c r="F20" s="52">
        <v>1.3531</v>
      </c>
    </row>
    <row r="21" spans="1:7" x14ac:dyDescent="0.2">
      <c r="A21" s="11">
        <v>20</v>
      </c>
      <c r="B21" s="4" t="s">
        <v>152</v>
      </c>
      <c r="C21" s="4" t="s">
        <v>153</v>
      </c>
      <c r="D21" s="4" t="s">
        <v>461</v>
      </c>
      <c r="E21" s="54">
        <v>762764253</v>
      </c>
      <c r="F21" s="52">
        <v>1.3525</v>
      </c>
      <c r="G21" s="49">
        <f>SUM(F2:F21)</f>
        <v>71.102899999999991</v>
      </c>
    </row>
    <row r="22" spans="1:7" x14ac:dyDescent="0.2">
      <c r="A22" s="11">
        <v>21</v>
      </c>
      <c r="B22" s="4" t="s">
        <v>218</v>
      </c>
      <c r="C22" s="4" t="s">
        <v>219</v>
      </c>
      <c r="D22" s="4" t="s">
        <v>461</v>
      </c>
      <c r="E22" s="54">
        <v>1112563218</v>
      </c>
      <c r="F22" s="52">
        <v>1.2523</v>
      </c>
    </row>
    <row r="23" spans="1:7" x14ac:dyDescent="0.2">
      <c r="A23" s="11">
        <v>22</v>
      </c>
      <c r="B23" s="4" t="s">
        <v>189</v>
      </c>
      <c r="C23" s="4" t="s">
        <v>190</v>
      </c>
      <c r="D23" s="4" t="s">
        <v>621</v>
      </c>
      <c r="E23" s="54">
        <v>738065812</v>
      </c>
      <c r="F23" s="52">
        <v>1.1704000000000001</v>
      </c>
    </row>
    <row r="24" spans="1:7" x14ac:dyDescent="0.2">
      <c r="A24" s="11">
        <v>23</v>
      </c>
      <c r="B24" s="4" t="s">
        <v>178</v>
      </c>
      <c r="C24" s="4" t="s">
        <v>179</v>
      </c>
      <c r="D24" s="4" t="s">
        <v>461</v>
      </c>
      <c r="E24" s="54">
        <v>533261054</v>
      </c>
      <c r="F24" s="52">
        <v>1.0761000000000001</v>
      </c>
    </row>
    <row r="25" spans="1:7" x14ac:dyDescent="0.2">
      <c r="A25" s="11">
        <v>24</v>
      </c>
      <c r="B25" s="4" t="s">
        <v>156</v>
      </c>
      <c r="C25" s="4" t="s">
        <v>157</v>
      </c>
      <c r="D25" s="4" t="s">
        <v>461</v>
      </c>
      <c r="E25" s="54">
        <v>1285713898</v>
      </c>
      <c r="F25" s="52">
        <v>1.0565</v>
      </c>
    </row>
    <row r="26" spans="1:7" x14ac:dyDescent="0.2">
      <c r="A26" s="11">
        <v>25</v>
      </c>
      <c r="B26" s="4" t="s">
        <v>97</v>
      </c>
      <c r="C26" s="4" t="s">
        <v>98</v>
      </c>
      <c r="D26" s="4" t="s">
        <v>462</v>
      </c>
      <c r="E26" s="54">
        <v>1276025309</v>
      </c>
      <c r="F26" s="52">
        <v>0.99529999999999996</v>
      </c>
    </row>
    <row r="27" spans="1:7" x14ac:dyDescent="0.2">
      <c r="A27" s="11">
        <v>26</v>
      </c>
      <c r="B27" s="4" t="s">
        <v>18</v>
      </c>
      <c r="C27" s="4" t="s">
        <v>19</v>
      </c>
      <c r="D27" s="4" t="s">
        <v>470</v>
      </c>
      <c r="E27" s="54">
        <v>1467570789</v>
      </c>
      <c r="F27" s="52">
        <v>0.99219999999999997</v>
      </c>
    </row>
    <row r="28" spans="1:7" x14ac:dyDescent="0.2">
      <c r="A28" s="11">
        <v>27</v>
      </c>
      <c r="B28" s="4" t="s">
        <v>52</v>
      </c>
      <c r="C28" s="4" t="s">
        <v>53</v>
      </c>
      <c r="D28" s="4" t="s">
        <v>462</v>
      </c>
      <c r="E28" s="54">
        <v>1904057894</v>
      </c>
      <c r="F28" s="52">
        <v>0.99039999999999995</v>
      </c>
    </row>
    <row r="29" spans="1:7" x14ac:dyDescent="0.2">
      <c r="A29" s="11">
        <v>28</v>
      </c>
      <c r="B29" s="4" t="s">
        <v>180</v>
      </c>
      <c r="C29" s="4" t="s">
        <v>181</v>
      </c>
      <c r="D29" s="4" t="s">
        <v>464</v>
      </c>
      <c r="E29" s="54">
        <v>1071443332</v>
      </c>
      <c r="F29" s="52">
        <v>0.98629999999999995</v>
      </c>
    </row>
    <row r="30" spans="1:7" x14ac:dyDescent="0.2">
      <c r="A30" s="11">
        <v>29</v>
      </c>
      <c r="B30" s="4" t="s">
        <v>23</v>
      </c>
      <c r="C30" s="4" t="s">
        <v>24</v>
      </c>
      <c r="D30" s="4" t="s">
        <v>461</v>
      </c>
      <c r="E30" s="54">
        <v>616186808</v>
      </c>
      <c r="F30" s="52">
        <v>0.94689999999999996</v>
      </c>
    </row>
    <row r="31" spans="1:7" x14ac:dyDescent="0.2">
      <c r="A31" s="11">
        <v>30</v>
      </c>
      <c r="B31" s="4" t="s">
        <v>60</v>
      </c>
      <c r="C31" s="4" t="s">
        <v>61</v>
      </c>
      <c r="D31" s="4" t="s">
        <v>468</v>
      </c>
      <c r="E31" s="54">
        <v>1671982390</v>
      </c>
      <c r="F31" s="52">
        <v>0.94099999999999995</v>
      </c>
    </row>
    <row r="32" spans="1:7" x14ac:dyDescent="0.2">
      <c r="A32" s="11">
        <v>31</v>
      </c>
      <c r="B32" s="4" t="s">
        <v>176</v>
      </c>
      <c r="C32" s="4" t="s">
        <v>177</v>
      </c>
      <c r="D32" s="4" t="s">
        <v>461</v>
      </c>
      <c r="E32" s="54">
        <v>804628136</v>
      </c>
      <c r="F32" s="52">
        <v>0.85709999999999997</v>
      </c>
    </row>
    <row r="33" spans="1:6" x14ac:dyDescent="0.2">
      <c r="A33" s="11">
        <v>32</v>
      </c>
      <c r="B33" s="4" t="s">
        <v>158</v>
      </c>
      <c r="C33" s="4" t="s">
        <v>159</v>
      </c>
      <c r="D33" s="4" t="s">
        <v>461</v>
      </c>
      <c r="E33" s="54">
        <v>1215488549</v>
      </c>
      <c r="F33" s="52">
        <v>0.82799999999999996</v>
      </c>
    </row>
    <row r="34" spans="1:6" x14ac:dyDescent="0.2">
      <c r="A34" s="11">
        <v>33</v>
      </c>
      <c r="B34" s="4" t="s">
        <v>130</v>
      </c>
      <c r="C34" s="4" t="s">
        <v>131</v>
      </c>
      <c r="D34" s="4" t="s">
        <v>461</v>
      </c>
      <c r="E34" s="54">
        <v>1000358705</v>
      </c>
      <c r="F34" s="52">
        <v>0.76160000000000005</v>
      </c>
    </row>
    <row r="35" spans="1:6" x14ac:dyDescent="0.2">
      <c r="A35" s="11">
        <v>34</v>
      </c>
      <c r="B35" s="4" t="s">
        <v>89</v>
      </c>
      <c r="C35" s="4" t="s">
        <v>90</v>
      </c>
      <c r="D35" s="4" t="s">
        <v>465</v>
      </c>
      <c r="E35" s="54">
        <v>325503046</v>
      </c>
      <c r="F35" s="52">
        <v>0.74390000000000001</v>
      </c>
    </row>
    <row r="36" spans="1:6" x14ac:dyDescent="0.2">
      <c r="A36" s="11">
        <v>35</v>
      </c>
      <c r="B36" s="4" t="s">
        <v>124</v>
      </c>
      <c r="C36" s="4" t="s">
        <v>125</v>
      </c>
      <c r="D36" s="4" t="s">
        <v>465</v>
      </c>
      <c r="E36" s="54">
        <v>784510115</v>
      </c>
      <c r="F36" s="52">
        <v>0.67989999999999995</v>
      </c>
    </row>
    <row r="37" spans="1:6" x14ac:dyDescent="0.2">
      <c r="A37" s="11">
        <v>36</v>
      </c>
      <c r="B37" s="4" t="s">
        <v>271</v>
      </c>
      <c r="C37" s="4" t="s">
        <v>272</v>
      </c>
      <c r="D37" s="4" t="s">
        <v>461</v>
      </c>
      <c r="E37" s="54">
        <v>988559510</v>
      </c>
      <c r="F37" s="52">
        <v>0.66649999999999998</v>
      </c>
    </row>
    <row r="38" spans="1:6" x14ac:dyDescent="0.2">
      <c r="A38" s="11">
        <v>37</v>
      </c>
      <c r="B38" s="4" t="s">
        <v>9</v>
      </c>
      <c r="C38" s="4" t="s">
        <v>10</v>
      </c>
      <c r="D38" s="4" t="s">
        <v>461</v>
      </c>
      <c r="E38" s="54">
        <v>1344470815</v>
      </c>
      <c r="F38" s="52">
        <v>0.66220000000000001</v>
      </c>
    </row>
    <row r="39" spans="1:6" x14ac:dyDescent="0.2">
      <c r="A39" s="11">
        <v>38</v>
      </c>
      <c r="B39" s="4" t="s">
        <v>105</v>
      </c>
      <c r="C39" s="4" t="s">
        <v>106</v>
      </c>
      <c r="D39" s="4" t="s">
        <v>461</v>
      </c>
      <c r="E39" s="54">
        <v>311257700</v>
      </c>
      <c r="F39" s="52">
        <v>0.60780000000000001</v>
      </c>
    </row>
    <row r="40" spans="1:6" x14ac:dyDescent="0.2">
      <c r="A40" s="11">
        <v>39</v>
      </c>
      <c r="B40" s="4" t="s">
        <v>82</v>
      </c>
      <c r="C40" s="4" t="s">
        <v>80</v>
      </c>
      <c r="D40" s="4" t="s">
        <v>471</v>
      </c>
      <c r="E40" s="54">
        <v>270513025</v>
      </c>
      <c r="F40" s="52">
        <v>0.60440000000000005</v>
      </c>
    </row>
    <row r="41" spans="1:6" x14ac:dyDescent="0.2">
      <c r="A41" s="11">
        <v>40</v>
      </c>
      <c r="B41" s="4" t="s">
        <v>39</v>
      </c>
      <c r="C41" s="4" t="s">
        <v>40</v>
      </c>
      <c r="D41" s="4" t="s">
        <v>461</v>
      </c>
      <c r="E41" s="54">
        <v>609781859</v>
      </c>
      <c r="F41" s="52">
        <v>0.58899999999999997</v>
      </c>
    </row>
    <row r="42" spans="1:6" x14ac:dyDescent="0.2">
      <c r="A42" s="11">
        <v>41</v>
      </c>
      <c r="B42" s="4" t="s">
        <v>221</v>
      </c>
      <c r="C42" s="4" t="s">
        <v>222</v>
      </c>
      <c r="D42" s="4" t="s">
        <v>464</v>
      </c>
      <c r="E42" s="54">
        <v>466632333</v>
      </c>
      <c r="F42" s="52">
        <v>0.52349999999999997</v>
      </c>
    </row>
    <row r="43" spans="1:6" x14ac:dyDescent="0.2">
      <c r="A43" s="11">
        <v>42</v>
      </c>
      <c r="B43" s="4" t="s">
        <v>288</v>
      </c>
      <c r="C43" s="4" t="s">
        <v>289</v>
      </c>
      <c r="D43" s="4" t="s">
        <v>461</v>
      </c>
      <c r="E43" s="54">
        <v>427078008</v>
      </c>
      <c r="F43" s="52">
        <v>0.48809999999999998</v>
      </c>
    </row>
    <row r="44" spans="1:6" x14ac:dyDescent="0.2">
      <c r="A44" s="11">
        <v>43</v>
      </c>
      <c r="B44" s="4" t="s">
        <v>77</v>
      </c>
      <c r="C44" s="4" t="s">
        <v>78</v>
      </c>
      <c r="D44" s="4" t="s">
        <v>464</v>
      </c>
      <c r="E44" s="54">
        <v>255215967</v>
      </c>
      <c r="F44" s="52">
        <v>0.47720000000000001</v>
      </c>
    </row>
    <row r="45" spans="1:6" x14ac:dyDescent="0.2">
      <c r="A45" s="11">
        <v>44</v>
      </c>
      <c r="B45" s="4" t="s">
        <v>164</v>
      </c>
      <c r="C45" s="4" t="s">
        <v>165</v>
      </c>
      <c r="D45" s="4" t="s">
        <v>166</v>
      </c>
      <c r="E45" s="54">
        <v>360347199</v>
      </c>
      <c r="F45" s="52">
        <v>0.47610000000000002</v>
      </c>
    </row>
    <row r="46" spans="1:6" x14ac:dyDescent="0.2">
      <c r="A46" s="11">
        <v>45</v>
      </c>
      <c r="B46" s="4" t="s">
        <v>279</v>
      </c>
      <c r="C46" s="4" t="s">
        <v>280</v>
      </c>
      <c r="D46" s="4" t="s">
        <v>461</v>
      </c>
      <c r="E46" s="54">
        <v>181016454</v>
      </c>
      <c r="F46" s="52">
        <v>0.43859999999999999</v>
      </c>
    </row>
    <row r="47" spans="1:6" x14ac:dyDescent="0.2">
      <c r="A47" s="11">
        <v>46</v>
      </c>
      <c r="B47" s="4" t="s">
        <v>242</v>
      </c>
      <c r="C47" s="4" t="s">
        <v>243</v>
      </c>
      <c r="D47" s="4" t="s">
        <v>461</v>
      </c>
      <c r="E47" s="54">
        <v>461715081</v>
      </c>
      <c r="F47" s="52">
        <v>0.43340000000000001</v>
      </c>
    </row>
    <row r="48" spans="1:6" x14ac:dyDescent="0.2">
      <c r="A48" s="11">
        <v>47</v>
      </c>
      <c r="B48" s="4" t="s">
        <v>263</v>
      </c>
      <c r="C48" s="4" t="s">
        <v>264</v>
      </c>
      <c r="D48" s="4" t="s">
        <v>462</v>
      </c>
      <c r="E48" s="54">
        <v>395801044</v>
      </c>
      <c r="F48" s="52">
        <v>0.43009999999999998</v>
      </c>
    </row>
    <row r="49" spans="1:6" x14ac:dyDescent="0.2">
      <c r="A49" s="11">
        <v>48</v>
      </c>
      <c r="B49" s="4" t="s">
        <v>140</v>
      </c>
      <c r="C49" s="4" t="s">
        <v>141</v>
      </c>
      <c r="D49" s="4" t="s">
        <v>469</v>
      </c>
      <c r="E49" s="54">
        <v>314022221</v>
      </c>
      <c r="F49" s="52">
        <v>0.40939999999999999</v>
      </c>
    </row>
    <row r="50" spans="1:6" x14ac:dyDescent="0.2">
      <c r="A50" s="11">
        <v>49</v>
      </c>
      <c r="B50" s="4" t="s">
        <v>199</v>
      </c>
      <c r="C50" s="4" t="s">
        <v>200</v>
      </c>
      <c r="D50" s="4" t="s">
        <v>469</v>
      </c>
      <c r="E50" s="54">
        <v>1646519336</v>
      </c>
      <c r="F50" s="52">
        <v>0.40079999999999999</v>
      </c>
    </row>
    <row r="51" spans="1:6" x14ac:dyDescent="0.2">
      <c r="A51" s="11">
        <v>50</v>
      </c>
      <c r="B51" s="4" t="s">
        <v>245</v>
      </c>
      <c r="C51" s="4" t="s">
        <v>246</v>
      </c>
      <c r="D51" s="4" t="s">
        <v>461</v>
      </c>
      <c r="E51" s="54">
        <v>600000000</v>
      </c>
      <c r="F51" s="52">
        <v>0.39610000000000001</v>
      </c>
    </row>
    <row r="52" spans="1:6" x14ac:dyDescent="0.2">
      <c r="A52" s="11">
        <v>51</v>
      </c>
      <c r="B52" s="4" t="s">
        <v>173</v>
      </c>
      <c r="C52" s="4" t="s">
        <v>174</v>
      </c>
      <c r="D52" s="4" t="s">
        <v>465</v>
      </c>
      <c r="E52" s="54">
        <v>218568234</v>
      </c>
      <c r="F52" s="52">
        <v>0.35680000000000001</v>
      </c>
    </row>
    <row r="53" spans="1:6" x14ac:dyDescent="0.2">
      <c r="A53" s="11">
        <v>52</v>
      </c>
      <c r="B53" s="4" t="s">
        <v>273</v>
      </c>
      <c r="C53" s="4" t="s">
        <v>274</v>
      </c>
      <c r="D53" s="4" t="s">
        <v>461</v>
      </c>
      <c r="E53" s="54">
        <v>839505097</v>
      </c>
      <c r="F53" s="52">
        <v>0.35410000000000003</v>
      </c>
    </row>
    <row r="54" spans="1:6" x14ac:dyDescent="0.2">
      <c r="A54" s="11">
        <v>53</v>
      </c>
      <c r="B54" s="4" t="s">
        <v>56</v>
      </c>
      <c r="C54" s="4" t="s">
        <v>57</v>
      </c>
      <c r="D54" s="4" t="s">
        <v>461</v>
      </c>
      <c r="E54" s="54">
        <v>187732538</v>
      </c>
      <c r="F54" s="52">
        <v>0.34599999999999997</v>
      </c>
    </row>
    <row r="55" spans="1:6" x14ac:dyDescent="0.2">
      <c r="A55" s="11">
        <v>54</v>
      </c>
      <c r="B55" s="4" t="s">
        <v>71</v>
      </c>
      <c r="C55" s="4" t="s">
        <v>72</v>
      </c>
      <c r="D55" s="4" t="s">
        <v>461</v>
      </c>
      <c r="E55" s="54">
        <v>256055995</v>
      </c>
      <c r="F55" s="52">
        <v>0.33710000000000001</v>
      </c>
    </row>
    <row r="56" spans="1:6" x14ac:dyDescent="0.2">
      <c r="A56" s="11">
        <v>55</v>
      </c>
      <c r="B56" s="4" t="s">
        <v>109</v>
      </c>
      <c r="C56" s="4" t="s">
        <v>110</v>
      </c>
      <c r="D56" s="4" t="s">
        <v>461</v>
      </c>
      <c r="E56" s="54">
        <v>293521155</v>
      </c>
      <c r="F56" s="52">
        <v>0.33529999999999999</v>
      </c>
    </row>
    <row r="57" spans="1:6" x14ac:dyDescent="0.2">
      <c r="A57" s="11">
        <v>56</v>
      </c>
      <c r="B57" s="4" t="s">
        <v>65</v>
      </c>
      <c r="C57" s="4" t="s">
        <v>66</v>
      </c>
      <c r="D57" s="4" t="s">
        <v>461</v>
      </c>
      <c r="E57" s="54">
        <v>1148010756</v>
      </c>
      <c r="F57" s="52">
        <v>0.31440000000000001</v>
      </c>
    </row>
    <row r="58" spans="1:6" x14ac:dyDescent="0.2">
      <c r="A58" s="11">
        <v>57</v>
      </c>
      <c r="B58" s="4" t="s">
        <v>95</v>
      </c>
      <c r="C58" s="4" t="s">
        <v>96</v>
      </c>
      <c r="D58" s="4" t="s">
        <v>461</v>
      </c>
      <c r="E58" s="54">
        <v>447171522</v>
      </c>
      <c r="F58" s="52">
        <v>0.31169999999999998</v>
      </c>
    </row>
    <row r="59" spans="1:6" x14ac:dyDescent="0.2">
      <c r="A59" s="11">
        <v>58</v>
      </c>
      <c r="B59" s="4" t="s">
        <v>268</v>
      </c>
      <c r="C59" s="4" t="s">
        <v>269</v>
      </c>
      <c r="D59" s="4" t="s">
        <v>631</v>
      </c>
      <c r="E59" s="54">
        <v>661573516</v>
      </c>
      <c r="F59" s="52">
        <v>0.28710000000000002</v>
      </c>
    </row>
    <row r="60" spans="1:6" x14ac:dyDescent="0.2">
      <c r="A60" s="11">
        <v>59</v>
      </c>
      <c r="B60" s="4" t="s">
        <v>101</v>
      </c>
      <c r="C60" s="4" t="s">
        <v>102</v>
      </c>
      <c r="D60" s="4" t="s">
        <v>462</v>
      </c>
      <c r="E60" s="54">
        <v>622976844</v>
      </c>
      <c r="F60" s="52">
        <v>0.27589999999999998</v>
      </c>
    </row>
    <row r="61" spans="1:6" x14ac:dyDescent="0.2">
      <c r="A61" s="11">
        <v>60</v>
      </c>
      <c r="B61" s="4" t="s">
        <v>285</v>
      </c>
      <c r="C61" s="4" t="s">
        <v>286</v>
      </c>
      <c r="D61" s="4" t="s">
        <v>461</v>
      </c>
      <c r="E61" s="54">
        <v>409543219</v>
      </c>
      <c r="F61" s="52">
        <v>0.27260000000000001</v>
      </c>
    </row>
    <row r="62" spans="1:6" x14ac:dyDescent="0.2">
      <c r="A62" s="11">
        <v>61</v>
      </c>
      <c r="B62" s="4" t="s">
        <v>67</v>
      </c>
      <c r="C62" s="4" t="s">
        <v>68</v>
      </c>
      <c r="D62" s="4" t="s">
        <v>2</v>
      </c>
      <c r="E62" s="54">
        <v>727975012</v>
      </c>
      <c r="F62" s="52">
        <v>0.25929999999999997</v>
      </c>
    </row>
    <row r="63" spans="1:6" x14ac:dyDescent="0.2">
      <c r="A63" s="11">
        <v>62</v>
      </c>
      <c r="B63" s="4" t="s">
        <v>54</v>
      </c>
      <c r="C63" s="4" t="s">
        <v>55</v>
      </c>
      <c r="D63" s="4" t="s">
        <v>461</v>
      </c>
      <c r="E63" s="54">
        <v>1810877718</v>
      </c>
      <c r="F63" s="52">
        <v>0.2475</v>
      </c>
    </row>
    <row r="64" spans="1:6" x14ac:dyDescent="0.2">
      <c r="A64" s="11">
        <v>63</v>
      </c>
      <c r="B64" s="4" t="s">
        <v>255</v>
      </c>
      <c r="C64" s="4" t="s">
        <v>256</v>
      </c>
      <c r="D64" s="4" t="s">
        <v>461</v>
      </c>
      <c r="E64" s="54">
        <v>325640184</v>
      </c>
      <c r="F64" s="52">
        <v>0.23549999999999999</v>
      </c>
    </row>
    <row r="65" spans="1:6" x14ac:dyDescent="0.2">
      <c r="A65" s="11">
        <v>64</v>
      </c>
      <c r="B65" s="4" t="s">
        <v>201</v>
      </c>
      <c r="C65" s="4" t="s">
        <v>202</v>
      </c>
      <c r="D65" s="4" t="s">
        <v>620</v>
      </c>
      <c r="E65" s="54">
        <v>211401696</v>
      </c>
      <c r="F65" s="52">
        <v>0.23250000000000001</v>
      </c>
    </row>
    <row r="66" spans="1:6" x14ac:dyDescent="0.2">
      <c r="A66" s="11">
        <v>65</v>
      </c>
      <c r="B66" s="4" t="s">
        <v>136</v>
      </c>
      <c r="C66" s="4" t="s">
        <v>137</v>
      </c>
      <c r="D66" s="4" t="s">
        <v>461</v>
      </c>
      <c r="E66" s="54">
        <v>188551176</v>
      </c>
      <c r="F66" s="52">
        <v>0.22</v>
      </c>
    </row>
    <row r="67" spans="1:6" x14ac:dyDescent="0.2">
      <c r="A67" s="11">
        <v>66</v>
      </c>
      <c r="B67" s="4" t="s">
        <v>234</v>
      </c>
      <c r="C67" s="4" t="s">
        <v>235</v>
      </c>
      <c r="D67" s="4" t="s">
        <v>461</v>
      </c>
      <c r="E67" s="54">
        <v>134911449</v>
      </c>
      <c r="F67" s="52">
        <v>0.21920000000000001</v>
      </c>
    </row>
    <row r="68" spans="1:6" x14ac:dyDescent="0.2">
      <c r="A68" s="11">
        <v>67</v>
      </c>
      <c r="B68" s="4" t="s">
        <v>252</v>
      </c>
      <c r="C68" s="4" t="s">
        <v>253</v>
      </c>
      <c r="D68" s="4" t="s">
        <v>461</v>
      </c>
      <c r="E68" s="54">
        <v>135117425</v>
      </c>
      <c r="F68" s="52">
        <v>0.21609999999999999</v>
      </c>
    </row>
    <row r="69" spans="1:6" x14ac:dyDescent="0.2">
      <c r="A69" s="11">
        <v>68</v>
      </c>
      <c r="B69" s="4" t="s">
        <v>35</v>
      </c>
      <c r="C69" s="4" t="s">
        <v>36</v>
      </c>
      <c r="D69" s="4" t="s">
        <v>462</v>
      </c>
      <c r="E69" s="54">
        <v>250973136</v>
      </c>
      <c r="F69" s="52">
        <v>0.19239999999999999</v>
      </c>
    </row>
    <row r="70" spans="1:6" x14ac:dyDescent="0.2">
      <c r="A70" s="11">
        <v>69</v>
      </c>
      <c r="B70" s="4" t="s">
        <v>113</v>
      </c>
      <c r="C70" s="4" t="s">
        <v>114</v>
      </c>
      <c r="D70" s="4" t="s">
        <v>461</v>
      </c>
      <c r="E70" s="54">
        <v>81838787</v>
      </c>
      <c r="F70" s="52">
        <v>0.18329999999999999</v>
      </c>
    </row>
    <row r="71" spans="1:6" x14ac:dyDescent="0.2">
      <c r="A71" s="11">
        <v>70</v>
      </c>
      <c r="B71" s="4" t="s">
        <v>228</v>
      </c>
      <c r="C71" s="4" t="s">
        <v>229</v>
      </c>
      <c r="D71" s="4" t="s">
        <v>461</v>
      </c>
      <c r="E71" s="54">
        <v>123160591</v>
      </c>
      <c r="F71" s="52">
        <v>0.16719999999999999</v>
      </c>
    </row>
    <row r="72" spans="1:6" x14ac:dyDescent="0.2">
      <c r="A72" s="11">
        <v>71</v>
      </c>
      <c r="B72" s="4" t="s">
        <v>206</v>
      </c>
      <c r="C72" s="4" t="s">
        <v>207</v>
      </c>
      <c r="D72" s="4" t="s">
        <v>461</v>
      </c>
      <c r="E72" s="54">
        <v>274720419</v>
      </c>
      <c r="F72" s="52">
        <v>0.1663</v>
      </c>
    </row>
    <row r="73" spans="1:6" x14ac:dyDescent="0.2">
      <c r="A73" s="11">
        <v>72</v>
      </c>
      <c r="B73" s="4" t="s">
        <v>210</v>
      </c>
      <c r="C73" s="4" t="s">
        <v>211</v>
      </c>
      <c r="D73" s="4" t="s">
        <v>461</v>
      </c>
      <c r="E73" s="54">
        <v>197693014</v>
      </c>
      <c r="F73" s="52">
        <v>0.16189999999999999</v>
      </c>
    </row>
    <row r="74" spans="1:6" x14ac:dyDescent="0.2">
      <c r="A74" s="11">
        <v>73</v>
      </c>
      <c r="B74" s="4" t="s">
        <v>231</v>
      </c>
      <c r="C74" s="4" t="s">
        <v>232</v>
      </c>
      <c r="D74" s="4" t="s">
        <v>461</v>
      </c>
      <c r="E74" s="54">
        <v>318338365</v>
      </c>
      <c r="F74" s="52">
        <v>0.1618</v>
      </c>
    </row>
    <row r="75" spans="1:6" x14ac:dyDescent="0.2">
      <c r="A75" s="11">
        <v>74</v>
      </c>
      <c r="B75" s="4" t="s">
        <v>193</v>
      </c>
      <c r="C75" s="4" t="s">
        <v>194</v>
      </c>
      <c r="D75" s="4" t="s">
        <v>461</v>
      </c>
      <c r="E75" s="54">
        <v>260753144</v>
      </c>
      <c r="F75" s="52">
        <v>0.1605</v>
      </c>
    </row>
    <row r="76" spans="1:6" x14ac:dyDescent="0.2">
      <c r="A76" s="11">
        <v>75</v>
      </c>
      <c r="B76" s="4" t="s">
        <v>134</v>
      </c>
      <c r="C76" s="4" t="s">
        <v>135</v>
      </c>
      <c r="D76" s="4" t="s">
        <v>461</v>
      </c>
      <c r="E76" s="54">
        <v>355414674</v>
      </c>
      <c r="F76" s="52">
        <v>0.13619999999999999</v>
      </c>
    </row>
    <row r="77" spans="1:6" x14ac:dyDescent="0.2">
      <c r="A77" s="11">
        <v>76</v>
      </c>
      <c r="B77" s="4" t="s">
        <v>138</v>
      </c>
      <c r="C77" s="4" t="s">
        <v>139</v>
      </c>
      <c r="D77" s="4" t="s">
        <v>633</v>
      </c>
      <c r="E77" s="54">
        <v>375402024</v>
      </c>
      <c r="F77" s="52">
        <v>0.13339999999999999</v>
      </c>
    </row>
    <row r="78" spans="1:6" x14ac:dyDescent="0.2">
      <c r="A78" s="11">
        <v>77</v>
      </c>
      <c r="B78" s="4" t="s">
        <v>25</v>
      </c>
      <c r="C78" s="4" t="s">
        <v>26</v>
      </c>
      <c r="D78" s="4" t="s">
        <v>633</v>
      </c>
      <c r="E78" s="54">
        <v>433648983</v>
      </c>
      <c r="F78" s="52">
        <v>0.12239999999999999</v>
      </c>
    </row>
    <row r="79" spans="1:6" x14ac:dyDescent="0.2">
      <c r="A79" s="11">
        <v>78</v>
      </c>
      <c r="B79" s="4" t="s">
        <v>41</v>
      </c>
      <c r="C79" s="4" t="s">
        <v>42</v>
      </c>
      <c r="D79" s="4" t="s">
        <v>467</v>
      </c>
      <c r="E79" s="54">
        <v>265876767</v>
      </c>
      <c r="F79" s="52">
        <v>0.1166</v>
      </c>
    </row>
    <row r="80" spans="1:6" x14ac:dyDescent="0.2">
      <c r="A80" s="11">
        <v>79</v>
      </c>
      <c r="B80" s="4" t="s">
        <v>248</v>
      </c>
      <c r="C80" s="4" t="s">
        <v>249</v>
      </c>
      <c r="D80" s="4" t="s">
        <v>461</v>
      </c>
      <c r="E80" s="54">
        <v>138420009</v>
      </c>
      <c r="F80" s="52">
        <v>0.10879999999999999</v>
      </c>
    </row>
    <row r="81" spans="1:6" x14ac:dyDescent="0.2">
      <c r="A81" s="11">
        <v>80</v>
      </c>
      <c r="B81" s="4" t="s">
        <v>216</v>
      </c>
      <c r="C81" s="4" t="s">
        <v>217</v>
      </c>
      <c r="D81" s="4" t="s">
        <v>461</v>
      </c>
      <c r="E81" s="54">
        <v>498192519</v>
      </c>
      <c r="F81" s="52">
        <v>0.10100000000000001</v>
      </c>
    </row>
    <row r="82" spans="1:6" x14ac:dyDescent="0.2">
      <c r="A82" s="11">
        <v>81</v>
      </c>
      <c r="B82" s="4" t="s">
        <v>182</v>
      </c>
      <c r="C82" s="4" t="s">
        <v>183</v>
      </c>
      <c r="D82" s="4" t="s">
        <v>467</v>
      </c>
      <c r="E82" s="54">
        <v>459046773</v>
      </c>
      <c r="F82" s="52">
        <v>9.3899999999999997E-2</v>
      </c>
    </row>
    <row r="83" spans="1:6" x14ac:dyDescent="0.2">
      <c r="A83" s="11">
        <v>82</v>
      </c>
      <c r="B83" s="4" t="s">
        <v>145</v>
      </c>
      <c r="C83" s="4" t="s">
        <v>146</v>
      </c>
      <c r="D83" s="4" t="s">
        <v>461</v>
      </c>
      <c r="E83" s="54">
        <v>433412603</v>
      </c>
      <c r="F83" s="52">
        <v>7.2800000000000004E-2</v>
      </c>
    </row>
    <row r="84" spans="1:6" x14ac:dyDescent="0.2">
      <c r="A84" s="11">
        <v>83</v>
      </c>
      <c r="B84" s="4" t="s">
        <v>204</v>
      </c>
      <c r="C84" s="4" t="s">
        <v>205</v>
      </c>
      <c r="D84" s="4" t="s">
        <v>634</v>
      </c>
      <c r="E84" s="54">
        <v>1226933170</v>
      </c>
      <c r="F84" s="52">
        <v>6.7199999999999996E-2</v>
      </c>
    </row>
    <row r="85" spans="1:6" x14ac:dyDescent="0.2">
      <c r="A85" s="11">
        <v>84</v>
      </c>
      <c r="B85" s="4" t="s">
        <v>69</v>
      </c>
      <c r="C85" s="4" t="s">
        <v>70</v>
      </c>
      <c r="D85" s="4" t="s">
        <v>461</v>
      </c>
      <c r="E85" s="54">
        <v>450059727</v>
      </c>
      <c r="F85" s="52">
        <v>4.48E-2</v>
      </c>
    </row>
  </sheetData>
  <sortState xmlns:xlrd2="http://schemas.microsoft.com/office/spreadsheetml/2017/richdata2" ref="B2:F85">
    <sortCondition descending="1" ref="F84:F85"/>
  </sortState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DF7AF-8BAB-41BA-A1AB-95AFCCC8588B}">
  <dimension ref="A1:R97"/>
  <sheetViews>
    <sheetView workbookViewId="0">
      <selection activeCell="K25" sqref="K25"/>
    </sheetView>
  </sheetViews>
  <sheetFormatPr defaultRowHeight="12.75" x14ac:dyDescent="0.2"/>
  <cols>
    <col min="1" max="1" width="9.140625" style="11"/>
    <col min="2" max="2" width="9.5703125" style="11" customWidth="1"/>
    <col min="3" max="3" width="14.7109375" style="11" customWidth="1"/>
    <col min="4" max="4" width="10.85546875" style="11" customWidth="1"/>
    <col min="5" max="5" width="15.7109375" style="11" customWidth="1"/>
    <col min="6" max="6" width="10.28515625" style="24" customWidth="1"/>
    <col min="7" max="10" width="9.140625" style="11"/>
    <col min="11" max="11" width="10.42578125" style="11" bestFit="1" customWidth="1"/>
    <col min="12" max="12" width="21.7109375" style="26" customWidth="1"/>
    <col min="13" max="13" width="12.28515625" style="11" customWidth="1"/>
    <col min="14" max="14" width="22" style="11" customWidth="1"/>
    <col min="15" max="15" width="11" style="11" customWidth="1"/>
    <col min="16" max="16" width="21.28515625" style="11" customWidth="1"/>
    <col min="17" max="17" width="10.28515625" style="11" customWidth="1"/>
    <col min="18" max="16384" width="9.140625" style="11"/>
  </cols>
  <sheetData>
    <row r="1" spans="1:18" ht="13.5" thickBot="1" x14ac:dyDescent="0.25">
      <c r="A1" s="11" t="s">
        <v>662</v>
      </c>
      <c r="B1" s="59" t="s">
        <v>622</v>
      </c>
      <c r="C1" s="60" t="s">
        <v>623</v>
      </c>
      <c r="D1" s="60" t="s">
        <v>626</v>
      </c>
      <c r="E1" s="60" t="s">
        <v>624</v>
      </c>
      <c r="F1" s="61" t="s">
        <v>625</v>
      </c>
      <c r="J1" s="25"/>
      <c r="P1" s="35" t="s">
        <v>616</v>
      </c>
    </row>
    <row r="2" spans="1:18" ht="14.25" customHeight="1" thickTop="1" thickBot="1" x14ac:dyDescent="0.25">
      <c r="A2" s="11">
        <v>1</v>
      </c>
      <c r="B2" s="21" t="s">
        <v>185</v>
      </c>
      <c r="C2" s="22" t="s">
        <v>186</v>
      </c>
      <c r="D2" s="22" t="s">
        <v>8</v>
      </c>
      <c r="E2" s="62">
        <v>3688870616</v>
      </c>
      <c r="F2" s="23">
        <v>11.879</v>
      </c>
      <c r="G2" s="28">
        <f t="shared" ref="G2:G33" si="0">F2/100</f>
        <v>0.11878999999999999</v>
      </c>
      <c r="I2" s="25">
        <f t="shared" ref="I2:I39" si="1">Q2</f>
        <v>0</v>
      </c>
      <c r="J2" s="31"/>
      <c r="K2" s="25"/>
      <c r="L2" s="26">
        <f t="shared" ref="L2:L33" si="2">I2*E2</f>
        <v>0</v>
      </c>
      <c r="P2" s="21" t="e" cm="1">
        <f t="array" ref="P2">_xlfn.STOCKHISTORY(B2,"10/02/2026","10/02/2026",0,0)</f>
        <v>#VALUE!</v>
      </c>
      <c r="Q2" s="25"/>
      <c r="R2" s="29"/>
    </row>
    <row r="3" spans="1:18" ht="15.75" thickBot="1" x14ac:dyDescent="0.3">
      <c r="A3" s="11">
        <v>2</v>
      </c>
      <c r="B3" s="21" t="s">
        <v>118</v>
      </c>
      <c r="C3" s="22" t="s">
        <v>119</v>
      </c>
      <c r="D3" s="22" t="s">
        <v>22</v>
      </c>
      <c r="E3" s="62">
        <v>5027870728</v>
      </c>
      <c r="F3" s="23">
        <v>8.9589999999999996</v>
      </c>
      <c r="G3" s="28">
        <f t="shared" si="0"/>
        <v>8.9590000000000003E-2</v>
      </c>
      <c r="I3" s="25">
        <f t="shared" si="1"/>
        <v>0</v>
      </c>
      <c r="J3" s="31"/>
      <c r="K3" s="25"/>
      <c r="L3" s="26">
        <f t="shared" si="2"/>
        <v>0</v>
      </c>
      <c r="N3" s="27"/>
      <c r="P3" s="11" t="e" cm="1">
        <f t="array" ref="P3">_xlfn.STOCKHISTORY(B3,"10/02/2026","10/02/2026",0,0)</f>
        <v>#VALUE!</v>
      </c>
      <c r="Q3" s="25"/>
    </row>
    <row r="4" spans="1:18" ht="13.5" thickBot="1" x14ac:dyDescent="0.25">
      <c r="A4" s="11">
        <v>3</v>
      </c>
      <c r="B4" s="21" t="s">
        <v>149</v>
      </c>
      <c r="C4" s="22" t="s">
        <v>148</v>
      </c>
      <c r="D4" s="22" t="s">
        <v>13</v>
      </c>
      <c r="E4" s="62">
        <v>4410960450</v>
      </c>
      <c r="F4" s="23">
        <v>6.0720000000000001</v>
      </c>
      <c r="G4" s="28">
        <f t="shared" si="0"/>
        <v>6.0720000000000003E-2</v>
      </c>
      <c r="I4" s="25">
        <f t="shared" si="1"/>
        <v>0</v>
      </c>
      <c r="J4" s="31"/>
      <c r="K4" s="25"/>
      <c r="L4" s="26">
        <f t="shared" si="2"/>
        <v>0</v>
      </c>
      <c r="P4" s="11" t="e" cm="1">
        <f t="array" ref="P4">_xlfn.STOCKHISTORY(B4,"10/02/2026","10/02/2026",0,0)</f>
        <v>#VALUE!</v>
      </c>
      <c r="Q4" s="25"/>
    </row>
    <row r="5" spans="1:18" ht="13.5" thickBot="1" x14ac:dyDescent="0.25">
      <c r="A5" s="11">
        <v>4</v>
      </c>
      <c r="B5" s="21" t="s">
        <v>147</v>
      </c>
      <c r="C5" s="22" t="s">
        <v>148</v>
      </c>
      <c r="D5" s="22" t="s">
        <v>142</v>
      </c>
      <c r="E5" s="62">
        <v>2943171983</v>
      </c>
      <c r="F5" s="23">
        <v>4.3049999999999997</v>
      </c>
      <c r="G5" s="28">
        <f t="shared" si="0"/>
        <v>4.3049999999999998E-2</v>
      </c>
      <c r="I5" s="25">
        <f t="shared" si="1"/>
        <v>0</v>
      </c>
      <c r="J5" s="31"/>
      <c r="K5" s="25"/>
      <c r="L5" s="26">
        <f t="shared" si="2"/>
        <v>0</v>
      </c>
      <c r="P5" s="11" t="e" cm="1">
        <f t="array" ref="P5">_xlfn.STOCKHISTORY(B5,"10/02/2026","10/02/2026",0,0)</f>
        <v>#VALUE!</v>
      </c>
      <c r="Q5" s="25"/>
    </row>
    <row r="6" spans="1:18" ht="13.5" thickBot="1" x14ac:dyDescent="0.25">
      <c r="A6" s="11">
        <v>5</v>
      </c>
      <c r="B6" s="21" t="s">
        <v>476</v>
      </c>
      <c r="C6" s="22" t="s">
        <v>477</v>
      </c>
      <c r="D6" s="22" t="s">
        <v>81</v>
      </c>
      <c r="E6" s="62">
        <v>1945846761</v>
      </c>
      <c r="F6" s="23">
        <v>4.2080000000000002</v>
      </c>
      <c r="G6" s="28">
        <f t="shared" si="0"/>
        <v>4.2079999999999999E-2</v>
      </c>
      <c r="I6" s="25">
        <f t="shared" si="1"/>
        <v>0</v>
      </c>
      <c r="J6" s="31"/>
      <c r="K6" s="25"/>
      <c r="L6" s="26">
        <f t="shared" si="2"/>
        <v>0</v>
      </c>
      <c r="P6" s="11" t="e" cm="1">
        <f t="array" ref="P6">_xlfn.STOCKHISTORY(B6,"10/02/2026","10/02/2026",0,0)</f>
        <v>#VALUE!</v>
      </c>
      <c r="Q6" s="25"/>
    </row>
    <row r="7" spans="1:18" ht="13.5" thickBot="1" x14ac:dyDescent="0.25">
      <c r="A7" s="11">
        <v>6</v>
      </c>
      <c r="B7" s="21" t="s">
        <v>21</v>
      </c>
      <c r="C7" s="22" t="s">
        <v>19</v>
      </c>
      <c r="D7" s="22" t="s">
        <v>22</v>
      </c>
      <c r="E7" s="62">
        <v>5106488516</v>
      </c>
      <c r="F7" s="23">
        <v>3.9380000000000002</v>
      </c>
      <c r="G7" s="28">
        <f t="shared" si="0"/>
        <v>3.9379999999999998E-2</v>
      </c>
      <c r="I7" s="25">
        <f t="shared" si="1"/>
        <v>0</v>
      </c>
      <c r="J7" s="31"/>
      <c r="K7" s="25"/>
      <c r="L7" s="26">
        <f t="shared" si="2"/>
        <v>0</v>
      </c>
      <c r="P7" s="11" t="e" cm="1">
        <f t="array" ref="P7">_xlfn.STOCKHISTORY(B7,"10/02/2026","10/02/2026",0,0)</f>
        <v>#VALUE!</v>
      </c>
      <c r="Q7" s="25"/>
    </row>
    <row r="8" spans="1:18" ht="13.5" thickBot="1" x14ac:dyDescent="0.25">
      <c r="A8" s="11">
        <v>7</v>
      </c>
      <c r="B8" s="21" t="s">
        <v>167</v>
      </c>
      <c r="C8" s="22" t="s">
        <v>168</v>
      </c>
      <c r="D8" s="22" t="s">
        <v>8</v>
      </c>
      <c r="E8" s="62">
        <v>621445261</v>
      </c>
      <c r="F8" s="23">
        <v>3.3980000000000001</v>
      </c>
      <c r="G8" s="28">
        <f t="shared" si="0"/>
        <v>3.3980000000000003E-2</v>
      </c>
      <c r="I8" s="25">
        <f t="shared" si="1"/>
        <v>0</v>
      </c>
      <c r="J8" s="31"/>
      <c r="K8" s="25"/>
      <c r="L8" s="26">
        <f t="shared" si="2"/>
        <v>0</v>
      </c>
      <c r="P8" s="11" t="e" cm="1">
        <f t="array" ref="P8">_xlfn.STOCKHISTORY(B8,"10/02/2026","10/02/2026",0,0)</f>
        <v>#VALUE!</v>
      </c>
      <c r="Q8" s="25"/>
    </row>
    <row r="9" spans="1:18" ht="13.5" thickBot="1" x14ac:dyDescent="0.25">
      <c r="A9" s="11">
        <v>8</v>
      </c>
      <c r="B9" s="21" t="s">
        <v>14</v>
      </c>
      <c r="C9" s="22" t="s">
        <v>15</v>
      </c>
      <c r="D9" s="22" t="s">
        <v>8</v>
      </c>
      <c r="E9" s="62">
        <v>5196371458</v>
      </c>
      <c r="F9" s="23">
        <v>3.3769999999999998</v>
      </c>
      <c r="G9" s="28">
        <f t="shared" si="0"/>
        <v>3.3769999999999994E-2</v>
      </c>
      <c r="I9" s="25">
        <f t="shared" si="1"/>
        <v>0</v>
      </c>
      <c r="J9" s="31"/>
      <c r="K9" s="25"/>
      <c r="L9" s="26">
        <f t="shared" si="2"/>
        <v>0</v>
      </c>
      <c r="P9" s="11" t="e" cm="1">
        <f t="array" ref="P9">_xlfn.STOCKHISTORY(B9,"10/02/2026","10/02/2026",0,0)</f>
        <v>#VALUE!</v>
      </c>
      <c r="Q9" s="25"/>
    </row>
    <row r="10" spans="1:18" ht="13.5" thickBot="1" x14ac:dyDescent="0.25">
      <c r="A10" s="11">
        <v>9</v>
      </c>
      <c r="B10" s="21" t="s">
        <v>115</v>
      </c>
      <c r="C10" s="22" t="s">
        <v>116</v>
      </c>
      <c r="D10" s="22" t="s">
        <v>5</v>
      </c>
      <c r="E10" s="62">
        <v>5970522444</v>
      </c>
      <c r="F10" s="23">
        <v>3.2130000000000001</v>
      </c>
      <c r="G10" s="28">
        <f t="shared" si="0"/>
        <v>3.2129999999999999E-2</v>
      </c>
      <c r="I10" s="25">
        <f t="shared" si="1"/>
        <v>0</v>
      </c>
      <c r="J10" s="31"/>
      <c r="K10" s="25"/>
      <c r="L10" s="26">
        <f t="shared" si="2"/>
        <v>0</v>
      </c>
      <c r="P10" s="11" t="e" cm="1">
        <f t="array" ref="P10">_xlfn.STOCKHISTORY(B10,"10/02/2026","10/02/2026",0,0)</f>
        <v>#VALUE!</v>
      </c>
      <c r="Q10" s="25"/>
    </row>
    <row r="11" spans="1:18" ht="13.5" thickBot="1" x14ac:dyDescent="0.25">
      <c r="A11" s="11">
        <v>10</v>
      </c>
      <c r="B11" s="21" t="s">
        <v>31</v>
      </c>
      <c r="C11" s="22" t="s">
        <v>32</v>
      </c>
      <c r="D11" s="22" t="s">
        <v>29</v>
      </c>
      <c r="E11" s="62">
        <v>1404794900</v>
      </c>
      <c r="F11" s="23">
        <v>3.1190000000000002</v>
      </c>
      <c r="G11" s="28">
        <f t="shared" si="0"/>
        <v>3.1190000000000002E-2</v>
      </c>
      <c r="I11" s="25">
        <f t="shared" si="1"/>
        <v>0</v>
      </c>
      <c r="J11" s="31"/>
      <c r="K11" s="25"/>
      <c r="L11" s="26">
        <f t="shared" si="2"/>
        <v>0</v>
      </c>
      <c r="P11" s="11" t="e" cm="1">
        <f t="array" ref="P11">_xlfn.STOCKHISTORY(B11,"10/02/2026","10/02/2026",0,0)</f>
        <v>#VALUE!</v>
      </c>
      <c r="Q11" s="25"/>
    </row>
    <row r="12" spans="1:18" ht="13.5" thickBot="1" x14ac:dyDescent="0.25">
      <c r="A12" s="11">
        <v>11</v>
      </c>
      <c r="B12" s="21" t="s">
        <v>191</v>
      </c>
      <c r="C12" s="22" t="s">
        <v>192</v>
      </c>
      <c r="D12" s="22" t="s">
        <v>8</v>
      </c>
      <c r="E12" s="62">
        <v>1485954732</v>
      </c>
      <c r="F12" s="23">
        <v>2.9460000000000002</v>
      </c>
      <c r="G12" s="28">
        <f t="shared" si="0"/>
        <v>2.946E-2</v>
      </c>
      <c r="I12" s="25">
        <f t="shared" si="1"/>
        <v>0</v>
      </c>
      <c r="J12" s="31"/>
      <c r="K12" s="25"/>
      <c r="L12" s="26">
        <f t="shared" si="2"/>
        <v>0</v>
      </c>
      <c r="P12" s="11" t="e" cm="1">
        <f t="array" ref="P12">_xlfn.STOCKHISTORY(B12,"10/02/2026","10/02/2026",0,0)</f>
        <v>#VALUE!</v>
      </c>
      <c r="Q12" s="25"/>
    </row>
    <row r="13" spans="1:18" ht="13.5" thickBot="1" x14ac:dyDescent="0.25">
      <c r="A13" s="11">
        <v>12</v>
      </c>
      <c r="B13" s="21" t="s">
        <v>16</v>
      </c>
      <c r="C13" s="22" t="s">
        <v>17</v>
      </c>
      <c r="D13" s="22" t="s">
        <v>8</v>
      </c>
      <c r="E13" s="62">
        <v>2842496541</v>
      </c>
      <c r="F13" s="23">
        <v>2.6019999999999999</v>
      </c>
      <c r="G13" s="28">
        <f t="shared" si="0"/>
        <v>2.6019999999999998E-2</v>
      </c>
      <c r="I13" s="25">
        <f t="shared" si="1"/>
        <v>0</v>
      </c>
      <c r="J13" s="31"/>
      <c r="K13" s="25"/>
      <c r="L13" s="26">
        <f t="shared" si="2"/>
        <v>0</v>
      </c>
      <c r="P13" s="11" t="e" cm="1">
        <f t="array" ref="P13">_xlfn.STOCKHISTORY(B13,"10/02/2026","10/02/2026",0,0)</f>
        <v>#VALUE!</v>
      </c>
      <c r="Q13" s="25"/>
    </row>
    <row r="14" spans="1:18" ht="15.75" thickBot="1" x14ac:dyDescent="0.3">
      <c r="A14" s="11">
        <v>13</v>
      </c>
      <c r="B14" s="21" t="s">
        <v>499</v>
      </c>
      <c r="C14" s="22" t="s">
        <v>84</v>
      </c>
      <c r="D14" s="22" t="s">
        <v>8</v>
      </c>
      <c r="E14" s="62">
        <v>722766139</v>
      </c>
      <c r="F14" s="23">
        <v>2.5059999999999998</v>
      </c>
      <c r="G14" s="28">
        <f t="shared" si="0"/>
        <v>2.5059999999999999E-2</v>
      </c>
      <c r="I14" s="25">
        <f t="shared" si="1"/>
        <v>0</v>
      </c>
      <c r="J14" s="31"/>
      <c r="K14" s="25"/>
      <c r="L14" s="26">
        <f t="shared" si="2"/>
        <v>0</v>
      </c>
      <c r="N14" s="27"/>
      <c r="P14" s="11" t="e" cm="1">
        <f t="array" ref="P14">_xlfn.STOCKHISTORY(B14,"10/02/2026","10/02/2026",0,0)</f>
        <v>#VALUE!</v>
      </c>
      <c r="Q14" s="25"/>
    </row>
    <row r="15" spans="1:18" ht="13.5" thickBot="1" x14ac:dyDescent="0.25">
      <c r="A15" s="11">
        <v>14</v>
      </c>
      <c r="B15" s="21" t="s">
        <v>0</v>
      </c>
      <c r="C15" s="22" t="s">
        <v>1</v>
      </c>
      <c r="D15" s="22" t="s">
        <v>2</v>
      </c>
      <c r="E15" s="62">
        <v>4273841357</v>
      </c>
      <c r="F15" s="23">
        <v>2.4260000000000002</v>
      </c>
      <c r="G15" s="28">
        <f t="shared" si="0"/>
        <v>2.426E-2</v>
      </c>
      <c r="H15" s="24"/>
      <c r="I15" s="25">
        <f t="shared" si="1"/>
        <v>0</v>
      </c>
      <c r="J15" s="31"/>
      <c r="K15" s="25"/>
      <c r="L15" s="26">
        <f t="shared" si="2"/>
        <v>0</v>
      </c>
      <c r="M15" s="26"/>
      <c r="P15" s="11" t="e" cm="1">
        <f t="array" ref="P15">_xlfn.STOCKHISTORY(B15,"10/02/2026","10/02/2026",0,0)</f>
        <v>#VALUE!</v>
      </c>
      <c r="Q15" s="25"/>
    </row>
    <row r="16" spans="1:18" ht="13.5" thickBot="1" x14ac:dyDescent="0.25">
      <c r="A16" s="11">
        <v>15</v>
      </c>
      <c r="B16" s="21" t="s">
        <v>91</v>
      </c>
      <c r="C16" s="22" t="s">
        <v>92</v>
      </c>
      <c r="D16" s="22" t="s">
        <v>8</v>
      </c>
      <c r="E16" s="62">
        <v>1250951305</v>
      </c>
      <c r="F16" s="23">
        <v>1.911</v>
      </c>
      <c r="G16" s="28">
        <f t="shared" si="0"/>
        <v>1.9110000000000002E-2</v>
      </c>
      <c r="H16" s="28">
        <f>SUM(G2:G16)</f>
        <v>0.64859</v>
      </c>
      <c r="I16" s="25">
        <f t="shared" si="1"/>
        <v>0</v>
      </c>
      <c r="J16" s="31"/>
      <c r="L16" s="26">
        <f t="shared" si="2"/>
        <v>0</v>
      </c>
      <c r="P16" s="11" t="e" cm="1">
        <f t="array" ref="P16">_xlfn.STOCKHISTORY(B16,"10/02/2026","10/02/2026",0,0)</f>
        <v>#VALUE!</v>
      </c>
      <c r="Q16" s="25"/>
    </row>
    <row r="17" spans="1:17" ht="13.5" thickBot="1" x14ac:dyDescent="0.25">
      <c r="A17" s="11">
        <v>16</v>
      </c>
      <c r="B17" s="21" t="s">
        <v>162</v>
      </c>
      <c r="C17" s="22" t="s">
        <v>163</v>
      </c>
      <c r="D17" s="22" t="s">
        <v>8</v>
      </c>
      <c r="E17" s="62">
        <v>977042684</v>
      </c>
      <c r="F17" s="23">
        <v>1.823</v>
      </c>
      <c r="G17" s="28">
        <f t="shared" si="0"/>
        <v>1.823E-2</v>
      </c>
      <c r="I17" s="25">
        <f t="shared" si="1"/>
        <v>0</v>
      </c>
      <c r="J17" s="31"/>
      <c r="L17" s="26">
        <f t="shared" si="2"/>
        <v>0</v>
      </c>
      <c r="P17" s="11" t="e" cm="1">
        <f t="array" ref="P17">_xlfn.STOCKHISTORY(B17,"10/02/2026","10/02/2026",0,0)</f>
        <v>#VALUE!</v>
      </c>
      <c r="Q17" s="25"/>
    </row>
    <row r="18" spans="1:17" ht="13.5" thickBot="1" x14ac:dyDescent="0.25">
      <c r="A18" s="11">
        <v>17</v>
      </c>
      <c r="B18" s="21" t="s">
        <v>160</v>
      </c>
      <c r="C18" s="22" t="s">
        <v>161</v>
      </c>
      <c r="D18" s="22" t="s">
        <v>8</v>
      </c>
      <c r="E18" s="62">
        <v>1091469308</v>
      </c>
      <c r="F18" s="23">
        <v>1.6970000000000001</v>
      </c>
      <c r="G18" s="28">
        <f t="shared" si="0"/>
        <v>1.6969999999999999E-2</v>
      </c>
      <c r="I18" s="25">
        <f t="shared" si="1"/>
        <v>0</v>
      </c>
      <c r="J18" s="31"/>
      <c r="L18" s="26">
        <f t="shared" si="2"/>
        <v>0</v>
      </c>
      <c r="P18" s="11" t="e" cm="1">
        <f t="array" ref="P18">_xlfn.STOCKHISTORY(B18,"10/02/2026","10/02/2026",0,0)</f>
        <v>#VALUE!</v>
      </c>
      <c r="Q18" s="25"/>
    </row>
    <row r="19" spans="1:17" ht="13.5" thickBot="1" x14ac:dyDescent="0.25">
      <c r="A19" s="11">
        <v>18</v>
      </c>
      <c r="B19" s="21" t="s">
        <v>87</v>
      </c>
      <c r="C19" s="22" t="s">
        <v>88</v>
      </c>
      <c r="D19" s="22" t="s">
        <v>8</v>
      </c>
      <c r="E19" s="62">
        <v>1912889086</v>
      </c>
      <c r="F19" s="23">
        <v>1.548</v>
      </c>
      <c r="G19" s="28">
        <f t="shared" si="0"/>
        <v>1.5480000000000001E-2</v>
      </c>
      <c r="I19" s="25">
        <f t="shared" si="1"/>
        <v>0</v>
      </c>
      <c r="J19" s="31"/>
      <c r="L19" s="26">
        <f t="shared" si="2"/>
        <v>0</v>
      </c>
      <c r="N19" s="26"/>
      <c r="P19" s="11" t="e" cm="1">
        <f t="array" ref="P19">_xlfn.STOCKHISTORY(B19,"10/02/2026","10/02/2026",0,0)</f>
        <v>#VALUE!</v>
      </c>
      <c r="Q19" s="25"/>
    </row>
    <row r="20" spans="1:17" ht="13.5" thickBot="1" x14ac:dyDescent="0.25">
      <c r="A20" s="11">
        <v>19</v>
      </c>
      <c r="B20" s="21" t="s">
        <v>152</v>
      </c>
      <c r="C20" s="22" t="s">
        <v>153</v>
      </c>
      <c r="D20" s="22" t="s">
        <v>8</v>
      </c>
      <c r="E20" s="62">
        <v>762017253</v>
      </c>
      <c r="F20" s="23">
        <v>1.4350000000000001</v>
      </c>
      <c r="G20" s="28">
        <f t="shared" si="0"/>
        <v>1.435E-2</v>
      </c>
      <c r="H20" s="24"/>
      <c r="I20" s="25">
        <f t="shared" si="1"/>
        <v>0</v>
      </c>
      <c r="J20" s="31"/>
      <c r="K20" s="25"/>
      <c r="L20" s="26">
        <f t="shared" si="2"/>
        <v>0</v>
      </c>
      <c r="M20" s="26"/>
      <c r="P20" s="11" t="e" cm="1">
        <f t="array" ref="P20">_xlfn.STOCKHISTORY(B20,"10/02/2026","10/02/2026",0,0)</f>
        <v>#VALUE!</v>
      </c>
      <c r="Q20" s="25"/>
    </row>
    <row r="21" spans="1:17" ht="13.5" thickBot="1" x14ac:dyDescent="0.25">
      <c r="A21" s="11">
        <v>20</v>
      </c>
      <c r="B21" s="21" t="s">
        <v>218</v>
      </c>
      <c r="C21" s="22" t="s">
        <v>219</v>
      </c>
      <c r="D21" s="22" t="s">
        <v>8</v>
      </c>
      <c r="E21" s="62">
        <v>1192531648</v>
      </c>
      <c r="F21" s="23">
        <v>1.3959999999999999</v>
      </c>
      <c r="G21" s="28">
        <f t="shared" si="0"/>
        <v>1.3959999999999998E-2</v>
      </c>
      <c r="H21" s="28">
        <f>SUM(G2:G21)</f>
        <v>0.72758</v>
      </c>
      <c r="I21" s="25">
        <f t="shared" si="1"/>
        <v>0</v>
      </c>
      <c r="J21" s="31"/>
      <c r="L21" s="26">
        <f t="shared" si="2"/>
        <v>0</v>
      </c>
      <c r="P21" s="11" t="e" cm="1">
        <f t="array" ref="P21">_xlfn.STOCKHISTORY(B21,"10/02/2026","10/02/2026",0,0)</f>
        <v>#VALUE!</v>
      </c>
      <c r="Q21" s="25"/>
    </row>
    <row r="22" spans="1:17" ht="13.5" thickBot="1" x14ac:dyDescent="0.25">
      <c r="A22" s="11">
        <v>21</v>
      </c>
      <c r="B22" s="21" t="s">
        <v>156</v>
      </c>
      <c r="C22" s="22" t="s">
        <v>157</v>
      </c>
      <c r="D22" s="22" t="s">
        <v>8</v>
      </c>
      <c r="E22" s="62">
        <v>1311428175</v>
      </c>
      <c r="F22" s="23">
        <v>1.2889999999999999</v>
      </c>
      <c r="G22" s="28">
        <f t="shared" si="0"/>
        <v>1.2889999999999999E-2</v>
      </c>
      <c r="I22" s="25">
        <f t="shared" si="1"/>
        <v>0</v>
      </c>
      <c r="L22" s="26">
        <f t="shared" si="2"/>
        <v>0</v>
      </c>
      <c r="M22" s="26"/>
      <c r="P22" s="11" t="e" cm="1">
        <f t="array" ref="P22">_xlfn.STOCKHISTORY(B22,"10/02/2026","10/02/2026",0,0)</f>
        <v>#VALUE!</v>
      </c>
      <c r="Q22" s="25"/>
    </row>
    <row r="23" spans="1:17" ht="13.5" thickBot="1" x14ac:dyDescent="0.25">
      <c r="A23" s="11">
        <v>22</v>
      </c>
      <c r="B23" s="21" t="s">
        <v>481</v>
      </c>
      <c r="C23" s="22" t="s">
        <v>477</v>
      </c>
      <c r="D23" s="22" t="s">
        <v>482</v>
      </c>
      <c r="E23" s="62">
        <v>582580795</v>
      </c>
      <c r="F23" s="23">
        <v>1.216</v>
      </c>
      <c r="G23" s="28">
        <f t="shared" si="0"/>
        <v>1.2159999999999999E-2</v>
      </c>
      <c r="I23" s="25">
        <f t="shared" si="1"/>
        <v>0</v>
      </c>
      <c r="J23" s="31"/>
      <c r="L23" s="26">
        <f t="shared" si="2"/>
        <v>0</v>
      </c>
      <c r="P23" s="11" t="e" cm="1">
        <f t="array" ref="P23">_xlfn.STOCKHISTORY(B23,"10/02/2026","10/02/2026",0,0)</f>
        <v>#VALUE!</v>
      </c>
      <c r="Q23" s="25"/>
    </row>
    <row r="24" spans="1:17" ht="13.5" thickBot="1" x14ac:dyDescent="0.25">
      <c r="A24" s="11">
        <v>23</v>
      </c>
      <c r="B24" s="21" t="s">
        <v>171</v>
      </c>
      <c r="C24" s="22" t="s">
        <v>172</v>
      </c>
      <c r="D24" s="22" t="s">
        <v>8</v>
      </c>
      <c r="E24" s="62">
        <v>612918471</v>
      </c>
      <c r="F24" s="23">
        <v>1.161</v>
      </c>
      <c r="G24" s="28">
        <f t="shared" si="0"/>
        <v>1.1610000000000001E-2</v>
      </c>
      <c r="I24" s="25">
        <f t="shared" si="1"/>
        <v>0</v>
      </c>
      <c r="J24" s="31"/>
      <c r="L24" s="26">
        <f t="shared" si="2"/>
        <v>0</v>
      </c>
      <c r="P24" s="11" t="e" cm="1">
        <f t="array" ref="P24">_xlfn.STOCKHISTORY(B24,"10/02/2026","10/02/2026",0,0)</f>
        <v>#VALUE!</v>
      </c>
      <c r="Q24" s="25"/>
    </row>
    <row r="25" spans="1:17" ht="13.5" thickBot="1" x14ac:dyDescent="0.25">
      <c r="A25" s="11">
        <v>24</v>
      </c>
      <c r="B25" s="21" t="s">
        <v>189</v>
      </c>
      <c r="C25" s="22" t="s">
        <v>190</v>
      </c>
      <c r="D25" s="22" t="s">
        <v>2</v>
      </c>
      <c r="E25" s="62">
        <v>738065812</v>
      </c>
      <c r="F25" s="23">
        <v>1.081</v>
      </c>
      <c r="G25" s="28">
        <f t="shared" si="0"/>
        <v>1.081E-2</v>
      </c>
      <c r="I25" s="25">
        <f t="shared" si="1"/>
        <v>0</v>
      </c>
      <c r="J25" s="31"/>
      <c r="L25" s="26">
        <f t="shared" si="2"/>
        <v>0</v>
      </c>
      <c r="P25" s="11" t="e" cm="1">
        <f t="array" ref="P25">_xlfn.STOCKHISTORY(B25,"10/02/2026","10/02/2026",0,0)</f>
        <v>#VALUE!</v>
      </c>
      <c r="Q25" s="25"/>
    </row>
    <row r="26" spans="1:17" ht="13.5" thickBot="1" x14ac:dyDescent="0.25">
      <c r="A26" s="11">
        <v>25</v>
      </c>
      <c r="B26" s="21" t="s">
        <v>180</v>
      </c>
      <c r="C26" s="22" t="s">
        <v>181</v>
      </c>
      <c r="D26" s="22" t="s">
        <v>8</v>
      </c>
      <c r="E26" s="62">
        <v>1071443332</v>
      </c>
      <c r="F26" s="23">
        <v>1.0649999999999999</v>
      </c>
      <c r="G26" s="28">
        <f t="shared" si="0"/>
        <v>1.065E-2</v>
      </c>
      <c r="I26" s="25">
        <f t="shared" si="1"/>
        <v>0</v>
      </c>
      <c r="J26" s="31"/>
      <c r="L26" s="26">
        <f t="shared" si="2"/>
        <v>0</v>
      </c>
      <c r="P26" s="11" t="e" cm="1">
        <f t="array" ref="P26">_xlfn.STOCKHISTORY(B26,"10/02/2026","10/02/2026",0,0)</f>
        <v>#VALUE!</v>
      </c>
      <c r="Q26" s="25"/>
    </row>
    <row r="27" spans="1:17" ht="13.5" customHeight="1" thickBot="1" x14ac:dyDescent="0.25">
      <c r="A27" s="11">
        <v>26</v>
      </c>
      <c r="B27" s="21" t="s">
        <v>97</v>
      </c>
      <c r="C27" s="22" t="s">
        <v>98</v>
      </c>
      <c r="D27" s="22" t="s">
        <v>5</v>
      </c>
      <c r="E27" s="62">
        <v>1263524206</v>
      </c>
      <c r="F27" s="23">
        <v>1.0369999999999999</v>
      </c>
      <c r="G27" s="28">
        <f t="shared" si="0"/>
        <v>1.0369999999999999E-2</v>
      </c>
      <c r="I27" s="25">
        <f t="shared" si="1"/>
        <v>0</v>
      </c>
      <c r="J27" s="31"/>
      <c r="L27" s="26">
        <f t="shared" si="2"/>
        <v>0</v>
      </c>
      <c r="P27" s="11" t="e" cm="1">
        <f t="array" ref="P27">_xlfn.STOCKHISTORY(B27,"10/02/2026","10/02/2026",0,0)</f>
        <v>#VALUE!</v>
      </c>
      <c r="Q27" s="25"/>
    </row>
    <row r="28" spans="1:17" ht="13.5" thickBot="1" x14ac:dyDescent="0.25">
      <c r="A28" s="11">
        <v>27</v>
      </c>
      <c r="B28" s="21" t="s">
        <v>18</v>
      </c>
      <c r="C28" s="22" t="s">
        <v>19</v>
      </c>
      <c r="D28" s="22" t="s">
        <v>20</v>
      </c>
      <c r="E28" s="62">
        <v>1467570789</v>
      </c>
      <c r="F28" s="23">
        <v>0.97799999999999998</v>
      </c>
      <c r="G28" s="28">
        <f t="shared" si="0"/>
        <v>9.7800000000000005E-3</v>
      </c>
      <c r="H28" s="24"/>
      <c r="I28" s="25">
        <f t="shared" si="1"/>
        <v>0</v>
      </c>
      <c r="J28" s="31"/>
      <c r="L28" s="26">
        <f t="shared" si="2"/>
        <v>0</v>
      </c>
      <c r="P28" s="11" t="e" cm="1">
        <f t="array" ref="P28">_xlfn.STOCKHISTORY(B28,"10/02/2026","10/02/2026",0,0)</f>
        <v>#VALUE!</v>
      </c>
      <c r="Q28" s="25"/>
    </row>
    <row r="29" spans="1:17" ht="13.5" thickBot="1" x14ac:dyDescent="0.25">
      <c r="A29" s="11">
        <v>28</v>
      </c>
      <c r="B29" s="21" t="s">
        <v>492</v>
      </c>
      <c r="C29" s="22" t="s">
        <v>61</v>
      </c>
      <c r="D29" s="22" t="s">
        <v>8</v>
      </c>
      <c r="E29" s="62">
        <v>1709534925</v>
      </c>
      <c r="F29" s="23">
        <v>0.86499999999999999</v>
      </c>
      <c r="G29" s="28">
        <f t="shared" si="0"/>
        <v>8.6499999999999997E-3</v>
      </c>
      <c r="I29" s="25">
        <f t="shared" si="1"/>
        <v>0</v>
      </c>
      <c r="J29" s="31"/>
      <c r="L29" s="26">
        <f t="shared" si="2"/>
        <v>0</v>
      </c>
      <c r="P29" s="11" t="e" cm="1">
        <f t="array" ref="P29">_xlfn.STOCKHISTORY(B29,"10/02/2026","10/02/2026",0,0)</f>
        <v>#VALUE!</v>
      </c>
      <c r="Q29" s="25"/>
    </row>
    <row r="30" spans="1:17" ht="13.5" thickBot="1" x14ac:dyDescent="0.25">
      <c r="A30" s="11">
        <v>29</v>
      </c>
      <c r="B30" s="21" t="s">
        <v>23</v>
      </c>
      <c r="C30" s="22" t="s">
        <v>24</v>
      </c>
      <c r="D30" s="22" t="s">
        <v>8</v>
      </c>
      <c r="E30" s="62">
        <v>616186808</v>
      </c>
      <c r="F30" s="23">
        <v>0.84899999999999998</v>
      </c>
      <c r="G30" s="28">
        <f t="shared" si="0"/>
        <v>8.4899999999999993E-3</v>
      </c>
      <c r="I30" s="25">
        <f t="shared" si="1"/>
        <v>0</v>
      </c>
      <c r="J30" s="31"/>
      <c r="L30" s="26">
        <f t="shared" si="2"/>
        <v>0</v>
      </c>
      <c r="P30" s="11" t="e" cm="1">
        <f t="array" ref="P30">_xlfn.STOCKHISTORY(B30,"10/02/2026","10/02/2026",0,0)</f>
        <v>#VALUE!</v>
      </c>
      <c r="Q30" s="25"/>
    </row>
    <row r="31" spans="1:17" ht="13.5" thickBot="1" x14ac:dyDescent="0.25">
      <c r="A31" s="11">
        <v>30</v>
      </c>
      <c r="B31" s="21" t="s">
        <v>52</v>
      </c>
      <c r="C31" s="22" t="s">
        <v>53</v>
      </c>
      <c r="D31" s="22" t="s">
        <v>5</v>
      </c>
      <c r="E31" s="62">
        <v>1904057894</v>
      </c>
      <c r="F31" s="23">
        <v>0.80200000000000005</v>
      </c>
      <c r="G31" s="28">
        <f t="shared" si="0"/>
        <v>8.0200000000000011E-3</v>
      </c>
      <c r="I31" s="25">
        <f t="shared" si="1"/>
        <v>0</v>
      </c>
      <c r="J31" s="31"/>
      <c r="L31" s="26">
        <f t="shared" si="2"/>
        <v>0</v>
      </c>
      <c r="P31" s="11" t="e" cm="1">
        <f t="array" ref="P31">_xlfn.STOCKHISTORY(B31,"10/02/2026","10/02/2026",0,0)</f>
        <v>#VALUE!</v>
      </c>
      <c r="Q31" s="25"/>
    </row>
    <row r="32" spans="1:17" ht="13.5" thickBot="1" x14ac:dyDescent="0.25">
      <c r="A32" s="11">
        <v>31</v>
      </c>
      <c r="B32" s="21" t="s">
        <v>176</v>
      </c>
      <c r="C32" s="22" t="s">
        <v>177</v>
      </c>
      <c r="D32" s="22" t="s">
        <v>8</v>
      </c>
      <c r="E32" s="62">
        <v>804628136</v>
      </c>
      <c r="F32" s="23">
        <v>0.77600000000000002</v>
      </c>
      <c r="G32" s="28">
        <f t="shared" si="0"/>
        <v>7.7600000000000004E-3</v>
      </c>
      <c r="I32" s="25">
        <f t="shared" si="1"/>
        <v>0</v>
      </c>
      <c r="J32" s="31"/>
      <c r="L32" s="26">
        <f t="shared" si="2"/>
        <v>0</v>
      </c>
      <c r="P32" s="11" t="e" cm="1">
        <f t="array" ref="P32">_xlfn.STOCKHISTORY(B32,"10/02/2026","10/02/2026",0,0)</f>
        <v>#VALUE!</v>
      </c>
      <c r="Q32" s="25"/>
    </row>
    <row r="33" spans="1:17" ht="13.5" thickBot="1" x14ac:dyDescent="0.25">
      <c r="A33" s="11">
        <v>32</v>
      </c>
      <c r="B33" s="21" t="s">
        <v>178</v>
      </c>
      <c r="C33" s="22" t="s">
        <v>179</v>
      </c>
      <c r="D33" s="22" t="s">
        <v>8</v>
      </c>
      <c r="E33" s="62">
        <v>533980424</v>
      </c>
      <c r="F33" s="23">
        <v>0.76400000000000001</v>
      </c>
      <c r="G33" s="28">
        <f t="shared" si="0"/>
        <v>7.6400000000000001E-3</v>
      </c>
      <c r="I33" s="25">
        <f t="shared" si="1"/>
        <v>0</v>
      </c>
      <c r="J33" s="31"/>
      <c r="L33" s="26">
        <f t="shared" si="2"/>
        <v>0</v>
      </c>
      <c r="P33" s="11" t="e" cm="1">
        <f t="array" ref="P33">_xlfn.STOCKHISTORY(B33,"10/02/2026","10/02/2026",0,0)</f>
        <v>#VALUE!</v>
      </c>
      <c r="Q33" s="25"/>
    </row>
    <row r="34" spans="1:17" ht="13.5" thickBot="1" x14ac:dyDescent="0.25">
      <c r="A34" s="11">
        <v>33</v>
      </c>
      <c r="B34" s="21" t="s">
        <v>158</v>
      </c>
      <c r="C34" s="22" t="s">
        <v>159</v>
      </c>
      <c r="D34" s="22" t="s">
        <v>8</v>
      </c>
      <c r="E34" s="62">
        <v>1221155293</v>
      </c>
      <c r="F34" s="23">
        <v>0.69699999999999995</v>
      </c>
      <c r="G34" s="28">
        <f t="shared" ref="G34:G65" si="3">F34/100</f>
        <v>6.9699999999999996E-3</v>
      </c>
      <c r="I34" s="25">
        <f t="shared" si="1"/>
        <v>0</v>
      </c>
      <c r="J34" s="31"/>
      <c r="L34" s="26">
        <f t="shared" ref="L34:L65" si="4">I34*E34</f>
        <v>0</v>
      </c>
      <c r="P34" s="11" t="e" cm="1">
        <f t="array" ref="P34">_xlfn.STOCKHISTORY(B34,"10/02/2026","10/02/2026",0,0)</f>
        <v>#VALUE!</v>
      </c>
      <c r="Q34" s="25"/>
    </row>
    <row r="35" spans="1:17" ht="13.5" thickBot="1" x14ac:dyDescent="0.25">
      <c r="A35" s="11">
        <v>34</v>
      </c>
      <c r="B35" s="21" t="s">
        <v>89</v>
      </c>
      <c r="C35" s="22" t="s">
        <v>90</v>
      </c>
      <c r="D35" s="22" t="s">
        <v>29</v>
      </c>
      <c r="E35" s="62">
        <v>358053350</v>
      </c>
      <c r="F35" s="23">
        <v>0.67700000000000005</v>
      </c>
      <c r="G35" s="28">
        <f t="shared" si="3"/>
        <v>6.7700000000000008E-3</v>
      </c>
      <c r="I35" s="25">
        <f t="shared" si="1"/>
        <v>0</v>
      </c>
      <c r="J35" s="31"/>
      <c r="L35" s="26">
        <f t="shared" si="4"/>
        <v>0</v>
      </c>
      <c r="P35" s="11" t="e" cm="1">
        <f t="array" ref="P35">_xlfn.STOCKHISTORY(B35,"10/02/2026","10/02/2026",0,0)</f>
        <v>#VALUE!</v>
      </c>
      <c r="Q35" s="25"/>
    </row>
    <row r="36" spans="1:17" ht="13.5" thickBot="1" x14ac:dyDescent="0.25">
      <c r="A36" s="11">
        <v>35</v>
      </c>
      <c r="B36" s="21" t="s">
        <v>271</v>
      </c>
      <c r="C36" s="22" t="s">
        <v>272</v>
      </c>
      <c r="D36" s="22" t="s">
        <v>8</v>
      </c>
      <c r="E36" s="62">
        <v>1002196725</v>
      </c>
      <c r="F36" s="23">
        <v>0.63500000000000001</v>
      </c>
      <c r="G36" s="28">
        <f t="shared" si="3"/>
        <v>6.3499999999999997E-3</v>
      </c>
      <c r="I36" s="25">
        <f t="shared" si="1"/>
        <v>0</v>
      </c>
      <c r="J36" s="31"/>
      <c r="L36" s="26">
        <f t="shared" si="4"/>
        <v>0</v>
      </c>
      <c r="P36" s="11" t="e" cm="1">
        <f t="array" ref="P36">_xlfn.STOCKHISTORY(B36,"10/02/2026","10/02/2026",0,0)</f>
        <v>#VALUE!</v>
      </c>
      <c r="Q36" s="25"/>
    </row>
    <row r="37" spans="1:17" ht="13.5" thickBot="1" x14ac:dyDescent="0.25">
      <c r="A37" s="11">
        <v>36</v>
      </c>
      <c r="B37" s="21" t="s">
        <v>479</v>
      </c>
      <c r="C37" s="22" t="s">
        <v>477</v>
      </c>
      <c r="D37" s="22" t="s">
        <v>62</v>
      </c>
      <c r="E37" s="62">
        <v>270655585</v>
      </c>
      <c r="F37" s="23">
        <v>0.623</v>
      </c>
      <c r="G37" s="28">
        <f t="shared" si="3"/>
        <v>6.2300000000000003E-3</v>
      </c>
      <c r="I37" s="25">
        <f t="shared" si="1"/>
        <v>0</v>
      </c>
      <c r="J37" s="31"/>
      <c r="L37" s="26">
        <f t="shared" si="4"/>
        <v>0</v>
      </c>
      <c r="P37" s="11" t="e" cm="1">
        <f t="array" ref="P37">_xlfn.STOCKHISTORY(B37,"10/02/2026","10/02/2026",0,0)</f>
        <v>#VALUE!</v>
      </c>
      <c r="Q37" s="25"/>
    </row>
    <row r="38" spans="1:17" ht="13.5" thickBot="1" x14ac:dyDescent="0.25">
      <c r="A38" s="11">
        <v>37</v>
      </c>
      <c r="B38" s="21" t="s">
        <v>124</v>
      </c>
      <c r="C38" s="22" t="s">
        <v>125</v>
      </c>
      <c r="D38" s="22" t="s">
        <v>29</v>
      </c>
      <c r="E38" s="62">
        <v>792355216</v>
      </c>
      <c r="F38" s="23">
        <v>0.57899999999999996</v>
      </c>
      <c r="G38" s="28">
        <f t="shared" si="3"/>
        <v>5.79E-3</v>
      </c>
      <c r="I38" s="25">
        <f t="shared" si="1"/>
        <v>0</v>
      </c>
      <c r="J38" s="31"/>
      <c r="L38" s="26">
        <f t="shared" si="4"/>
        <v>0</v>
      </c>
      <c r="P38" s="11" t="e" cm="1">
        <f t="array" ref="P38">_xlfn.STOCKHISTORY(B38,"10/02/2026","10/02/2026",0,0)</f>
        <v>#VALUE!</v>
      </c>
      <c r="Q38" s="25"/>
    </row>
    <row r="39" spans="1:17" ht="13.5" thickBot="1" x14ac:dyDescent="0.25">
      <c r="A39" s="11">
        <v>38</v>
      </c>
      <c r="B39" s="21" t="s">
        <v>130</v>
      </c>
      <c r="C39" s="22" t="s">
        <v>131</v>
      </c>
      <c r="D39" s="22" t="s">
        <v>8</v>
      </c>
      <c r="E39" s="62">
        <v>981927306</v>
      </c>
      <c r="F39" s="23">
        <v>0.55800000000000005</v>
      </c>
      <c r="G39" s="28">
        <f t="shared" si="3"/>
        <v>5.5800000000000008E-3</v>
      </c>
      <c r="I39" s="25">
        <f t="shared" si="1"/>
        <v>0</v>
      </c>
      <c r="J39" s="31"/>
      <c r="L39" s="26">
        <f t="shared" si="4"/>
        <v>0</v>
      </c>
      <c r="P39" s="11" t="e" cm="1">
        <f t="array" ref="P39">_xlfn.STOCKHISTORY(B39,"10/02/2026","10/02/2026",0,0)</f>
        <v>#VALUE!</v>
      </c>
      <c r="Q39" s="25"/>
    </row>
    <row r="40" spans="1:17" ht="13.5" thickBot="1" x14ac:dyDescent="0.25">
      <c r="A40" s="11">
        <v>39</v>
      </c>
      <c r="B40" s="21" t="s">
        <v>221</v>
      </c>
      <c r="C40" s="22" t="s">
        <v>222</v>
      </c>
      <c r="D40" s="22" t="s">
        <v>8</v>
      </c>
      <c r="E40" s="62">
        <v>466135796</v>
      </c>
      <c r="F40" s="23">
        <v>0.54200000000000004</v>
      </c>
      <c r="G40" s="28">
        <f t="shared" si="3"/>
        <v>5.4200000000000003E-3</v>
      </c>
      <c r="I40" s="25">
        <v>31.29</v>
      </c>
      <c r="J40" s="31"/>
      <c r="L40" s="26">
        <f t="shared" si="4"/>
        <v>14585389056.84</v>
      </c>
      <c r="P40" s="11" t="e" cm="1">
        <f t="array" ref="P40">_xlfn.STOCKHISTORY(B40,"10/02/2026","10/02/2026",0,0)</f>
        <v>#VALUE!</v>
      </c>
      <c r="Q40" s="25"/>
    </row>
    <row r="41" spans="1:17" ht="13.5" thickBot="1" x14ac:dyDescent="0.25">
      <c r="A41" s="11">
        <v>40</v>
      </c>
      <c r="B41" s="21" t="s">
        <v>518</v>
      </c>
      <c r="C41" s="22" t="s">
        <v>137</v>
      </c>
      <c r="D41" s="22" t="s">
        <v>8</v>
      </c>
      <c r="E41" s="62">
        <v>767248368</v>
      </c>
      <c r="F41" s="23">
        <v>0.53600000000000003</v>
      </c>
      <c r="G41" s="28">
        <f t="shared" si="3"/>
        <v>5.3600000000000002E-3</v>
      </c>
      <c r="I41" s="25">
        <f t="shared" ref="I41:I66" si="5">Q41</f>
        <v>0</v>
      </c>
      <c r="J41" s="31"/>
      <c r="L41" s="26">
        <f t="shared" si="4"/>
        <v>0</v>
      </c>
      <c r="P41" s="11" t="e" cm="1">
        <f t="array" ref="P41">_xlfn.STOCKHISTORY(B41,"10/02/2026","10/02/2026",0,0)</f>
        <v>#VALUE!</v>
      </c>
      <c r="Q41" s="25"/>
    </row>
    <row r="42" spans="1:17" ht="13.5" thickBot="1" x14ac:dyDescent="0.25">
      <c r="A42" s="11">
        <v>41</v>
      </c>
      <c r="B42" s="21" t="s">
        <v>164</v>
      </c>
      <c r="C42" s="22" t="s">
        <v>165</v>
      </c>
      <c r="D42" s="22" t="s">
        <v>166</v>
      </c>
      <c r="E42" s="62">
        <v>360347199</v>
      </c>
      <c r="F42" s="23">
        <v>0.47799999999999998</v>
      </c>
      <c r="G42" s="28">
        <f t="shared" si="3"/>
        <v>4.7799999999999995E-3</v>
      </c>
      <c r="I42" s="25">
        <f t="shared" si="5"/>
        <v>0</v>
      </c>
      <c r="J42" s="31"/>
      <c r="L42" s="26">
        <f t="shared" si="4"/>
        <v>0</v>
      </c>
      <c r="P42" s="11" t="e" cm="1">
        <f t="array" ref="P42">_xlfn.STOCKHISTORY(B42,"10/02/2026","10/02/2026",0,0)</f>
        <v>#VALUE!</v>
      </c>
      <c r="Q42" s="25"/>
    </row>
    <row r="43" spans="1:17" ht="13.5" thickBot="1" x14ac:dyDescent="0.25">
      <c r="A43" s="11">
        <v>42</v>
      </c>
      <c r="B43" s="21" t="s">
        <v>77</v>
      </c>
      <c r="C43" s="22" t="s">
        <v>78</v>
      </c>
      <c r="D43" s="22" t="s">
        <v>8</v>
      </c>
      <c r="E43" s="62">
        <v>357310487</v>
      </c>
      <c r="F43" s="23">
        <v>0.441</v>
      </c>
      <c r="G43" s="28">
        <f t="shared" si="3"/>
        <v>4.4099999999999999E-3</v>
      </c>
      <c r="I43" s="25">
        <f t="shared" si="5"/>
        <v>0</v>
      </c>
      <c r="J43" s="31"/>
      <c r="L43" s="26">
        <f t="shared" si="4"/>
        <v>0</v>
      </c>
      <c r="P43" s="11" t="e" cm="1">
        <f t="array" ref="P43">_xlfn.STOCKHISTORY(B43,"10/02/2026","10/02/2026",0,0)</f>
        <v>#VALUE!</v>
      </c>
      <c r="Q43" s="25"/>
    </row>
    <row r="44" spans="1:17" ht="13.5" thickBot="1" x14ac:dyDescent="0.25">
      <c r="A44" s="11">
        <v>43</v>
      </c>
      <c r="B44" s="21" t="s">
        <v>9</v>
      </c>
      <c r="C44" s="22" t="s">
        <v>10</v>
      </c>
      <c r="D44" s="22" t="s">
        <v>8</v>
      </c>
      <c r="E44" s="62">
        <v>1338601375</v>
      </c>
      <c r="F44" s="23">
        <v>0.433</v>
      </c>
      <c r="G44" s="28">
        <f t="shared" si="3"/>
        <v>4.3299999999999996E-3</v>
      </c>
      <c r="I44" s="25">
        <f t="shared" si="5"/>
        <v>0</v>
      </c>
      <c r="J44" s="31"/>
      <c r="L44" s="26">
        <f t="shared" si="4"/>
        <v>0</v>
      </c>
      <c r="P44" s="11" t="e" cm="1">
        <f t="array" ref="P44">_xlfn.STOCKHISTORY(B44,"10/02/2026","10/02/2026",0,0)</f>
        <v>#VALUE!</v>
      </c>
      <c r="Q44" s="25"/>
    </row>
    <row r="45" spans="1:17" ht="13.5" thickBot="1" x14ac:dyDescent="0.25">
      <c r="A45" s="11">
        <v>44</v>
      </c>
      <c r="B45" s="21" t="s">
        <v>263</v>
      </c>
      <c r="C45" s="22" t="s">
        <v>264</v>
      </c>
      <c r="D45" s="22" t="s">
        <v>22</v>
      </c>
      <c r="E45" s="62">
        <v>395801044</v>
      </c>
      <c r="F45" s="23">
        <v>0.43</v>
      </c>
      <c r="G45" s="28">
        <f t="shared" si="3"/>
        <v>4.3E-3</v>
      </c>
      <c r="I45" s="25">
        <f t="shared" si="5"/>
        <v>0</v>
      </c>
      <c r="J45" s="31"/>
      <c r="L45" s="26">
        <f t="shared" si="4"/>
        <v>0</v>
      </c>
      <c r="P45" s="11" t="e" cm="1">
        <f t="array" ref="P45">_xlfn.STOCKHISTORY(B45,"10/02/2026","10/02/2026",0,0)</f>
        <v>#VALUE!</v>
      </c>
      <c r="Q45" s="25"/>
    </row>
    <row r="46" spans="1:17" ht="13.5" thickBot="1" x14ac:dyDescent="0.25">
      <c r="A46" s="11">
        <v>45</v>
      </c>
      <c r="B46" s="21" t="s">
        <v>245</v>
      </c>
      <c r="C46" s="22" t="s">
        <v>246</v>
      </c>
      <c r="D46" s="22" t="s">
        <v>8</v>
      </c>
      <c r="E46" s="62">
        <v>600000000</v>
      </c>
      <c r="F46" s="23">
        <v>0.40500000000000003</v>
      </c>
      <c r="G46" s="28">
        <f t="shared" si="3"/>
        <v>4.0500000000000006E-3</v>
      </c>
      <c r="I46" s="25">
        <f t="shared" si="5"/>
        <v>0</v>
      </c>
      <c r="J46" s="31"/>
      <c r="L46" s="26">
        <f t="shared" si="4"/>
        <v>0</v>
      </c>
      <c r="P46" s="11" t="e" cm="1">
        <f t="array" ref="P46">_xlfn.STOCKHISTORY(B46,"10/02/2026","10/02/2026",0,0)</f>
        <v>#VALUE!</v>
      </c>
      <c r="Q46" s="25"/>
    </row>
    <row r="47" spans="1:17" ht="13.5" thickBot="1" x14ac:dyDescent="0.25">
      <c r="A47" s="11">
        <v>46</v>
      </c>
      <c r="B47" s="21" t="s">
        <v>65</v>
      </c>
      <c r="C47" s="22" t="s">
        <v>66</v>
      </c>
      <c r="D47" s="22" t="s">
        <v>8</v>
      </c>
      <c r="E47" s="62">
        <v>1802521475</v>
      </c>
      <c r="F47" s="23">
        <v>0.40200000000000002</v>
      </c>
      <c r="G47" s="28">
        <f t="shared" si="3"/>
        <v>4.0200000000000001E-3</v>
      </c>
      <c r="I47" s="25">
        <f t="shared" si="5"/>
        <v>0</v>
      </c>
      <c r="J47" s="31"/>
      <c r="L47" s="26">
        <f t="shared" si="4"/>
        <v>0</v>
      </c>
      <c r="P47" s="11" t="e" cm="1">
        <f t="array" ref="P47">_xlfn.STOCKHISTORY(B47,"10/02/2026","10/02/2026",0,0)</f>
        <v>#VALUE!</v>
      </c>
      <c r="Q47" s="25"/>
    </row>
    <row r="48" spans="1:17" ht="13.5" thickBot="1" x14ac:dyDescent="0.25">
      <c r="A48" s="11">
        <v>47</v>
      </c>
      <c r="B48" s="21" t="s">
        <v>140</v>
      </c>
      <c r="C48" s="22" t="s">
        <v>141</v>
      </c>
      <c r="D48" s="22" t="s">
        <v>142</v>
      </c>
      <c r="E48" s="62">
        <v>320022221</v>
      </c>
      <c r="F48" s="23">
        <v>0.39800000000000002</v>
      </c>
      <c r="G48" s="28">
        <f t="shared" si="3"/>
        <v>3.98E-3</v>
      </c>
      <c r="I48" s="25">
        <f t="shared" si="5"/>
        <v>0</v>
      </c>
      <c r="J48" s="31"/>
      <c r="L48" s="26">
        <f t="shared" si="4"/>
        <v>0</v>
      </c>
      <c r="P48" s="11" t="e" cm="1">
        <f t="array" ref="P48">_xlfn.STOCKHISTORY(B48,"10/02/2026","10/02/2026",0,0)</f>
        <v>#VALUE!</v>
      </c>
      <c r="Q48" s="25"/>
    </row>
    <row r="49" spans="1:17" ht="13.5" thickBot="1" x14ac:dyDescent="0.25">
      <c r="A49" s="11">
        <v>48</v>
      </c>
      <c r="B49" s="21" t="s">
        <v>489</v>
      </c>
      <c r="C49" s="22" t="s">
        <v>490</v>
      </c>
      <c r="D49" s="22" t="s">
        <v>8</v>
      </c>
      <c r="E49" s="62">
        <v>188467895</v>
      </c>
      <c r="F49" s="23">
        <v>0.38500000000000001</v>
      </c>
      <c r="G49" s="28">
        <f t="shared" si="3"/>
        <v>3.8500000000000001E-3</v>
      </c>
      <c r="I49" s="25">
        <f t="shared" si="5"/>
        <v>0</v>
      </c>
      <c r="J49" s="31"/>
      <c r="L49" s="26">
        <f t="shared" si="4"/>
        <v>0</v>
      </c>
      <c r="P49" s="11" t="e" cm="1">
        <f t="array" ref="P49">_xlfn.STOCKHISTORY(B49,"10/02/2026","10/02/2026",0,0)</f>
        <v>#VALUE!</v>
      </c>
      <c r="Q49" s="25"/>
    </row>
    <row r="50" spans="1:17" ht="13.5" thickBot="1" x14ac:dyDescent="0.25">
      <c r="A50" s="11">
        <v>49</v>
      </c>
      <c r="B50" s="21" t="s">
        <v>288</v>
      </c>
      <c r="C50" s="22" t="s">
        <v>289</v>
      </c>
      <c r="D50" s="22" t="s">
        <v>8</v>
      </c>
      <c r="E50" s="62">
        <v>467471342</v>
      </c>
      <c r="F50" s="23">
        <v>0.376</v>
      </c>
      <c r="G50" s="28">
        <f t="shared" si="3"/>
        <v>3.7599999999999999E-3</v>
      </c>
      <c r="I50" s="25">
        <f t="shared" si="5"/>
        <v>0</v>
      </c>
      <c r="J50" s="31"/>
      <c r="L50" s="26">
        <f t="shared" si="4"/>
        <v>0</v>
      </c>
      <c r="P50" s="11" t="e" cm="1">
        <f t="array" ref="P50">_xlfn.STOCKHISTORY(B50,"10/02/2026","10/02/2026",0,0)</f>
        <v>#VALUE!</v>
      </c>
      <c r="Q50" s="25"/>
    </row>
    <row r="51" spans="1:17" ht="13.5" thickBot="1" x14ac:dyDescent="0.25">
      <c r="A51" s="11">
        <v>50</v>
      </c>
      <c r="B51" s="21" t="s">
        <v>199</v>
      </c>
      <c r="C51" s="22" t="s">
        <v>200</v>
      </c>
      <c r="D51" s="22" t="s">
        <v>142</v>
      </c>
      <c r="E51" s="62">
        <v>1646519336</v>
      </c>
      <c r="F51" s="23">
        <v>0.36399999999999999</v>
      </c>
      <c r="G51" s="28">
        <f t="shared" si="3"/>
        <v>3.64E-3</v>
      </c>
      <c r="I51" s="25">
        <f t="shared" si="5"/>
        <v>0</v>
      </c>
      <c r="J51" s="31"/>
      <c r="L51" s="26">
        <f t="shared" si="4"/>
        <v>0</v>
      </c>
      <c r="P51" s="11" t="e" cm="1">
        <f t="array" ref="P51">_xlfn.STOCKHISTORY(B51,"10/02/2026","10/02/2026",0,0)</f>
        <v>#VALUE!</v>
      </c>
      <c r="Q51" s="25"/>
    </row>
    <row r="52" spans="1:17" ht="13.5" thickBot="1" x14ac:dyDescent="0.25">
      <c r="A52" s="11">
        <v>51</v>
      </c>
      <c r="B52" s="21" t="s">
        <v>279</v>
      </c>
      <c r="C52" s="22" t="s">
        <v>280</v>
      </c>
      <c r="D52" s="22" t="s">
        <v>8</v>
      </c>
      <c r="E52" s="62">
        <v>181016454</v>
      </c>
      <c r="F52" s="23">
        <v>0.35299999999999998</v>
      </c>
      <c r="G52" s="28">
        <f t="shared" si="3"/>
        <v>3.5299999999999997E-3</v>
      </c>
      <c r="I52" s="25">
        <f t="shared" si="5"/>
        <v>0</v>
      </c>
      <c r="J52" s="31"/>
      <c r="L52" s="26">
        <f t="shared" si="4"/>
        <v>0</v>
      </c>
      <c r="P52" s="11" t="e" cm="1">
        <f t="array" ref="P52">_xlfn.STOCKHISTORY(B52,"10/02/2026","10/02/2026",0,0)</f>
        <v>#VALUE!</v>
      </c>
      <c r="Q52" s="25"/>
    </row>
    <row r="53" spans="1:17" ht="13.5" thickBot="1" x14ac:dyDescent="0.25">
      <c r="A53" s="11">
        <v>52</v>
      </c>
      <c r="B53" s="21" t="s">
        <v>56</v>
      </c>
      <c r="C53" s="22" t="s">
        <v>57</v>
      </c>
      <c r="D53" s="22" t="s">
        <v>8</v>
      </c>
      <c r="E53" s="62">
        <v>187732538</v>
      </c>
      <c r="F53" s="23">
        <v>0.34799999999999998</v>
      </c>
      <c r="G53" s="28">
        <f t="shared" si="3"/>
        <v>3.4799999999999996E-3</v>
      </c>
      <c r="I53" s="25">
        <f t="shared" si="5"/>
        <v>0</v>
      </c>
      <c r="J53" s="31"/>
      <c r="L53" s="26">
        <f t="shared" si="4"/>
        <v>0</v>
      </c>
      <c r="P53" s="11" t="e" cm="1">
        <f t="array" ref="P53">_xlfn.STOCKHISTORY(B53,"10/02/2026","10/02/2026",0,0)</f>
        <v>#VALUE!</v>
      </c>
      <c r="Q53" s="25"/>
    </row>
    <row r="54" spans="1:17" ht="13.5" thickBot="1" x14ac:dyDescent="0.25">
      <c r="A54" s="11">
        <v>53</v>
      </c>
      <c r="B54" s="21" t="s">
        <v>173</v>
      </c>
      <c r="C54" s="22" t="s">
        <v>174</v>
      </c>
      <c r="D54" s="22" t="s">
        <v>29</v>
      </c>
      <c r="E54" s="62">
        <v>218568234</v>
      </c>
      <c r="F54" s="23">
        <v>0.34200000000000003</v>
      </c>
      <c r="G54" s="28">
        <f t="shared" si="3"/>
        <v>3.4200000000000003E-3</v>
      </c>
      <c r="I54" s="25">
        <f t="shared" si="5"/>
        <v>0</v>
      </c>
      <c r="J54" s="31"/>
      <c r="L54" s="26">
        <f t="shared" si="4"/>
        <v>0</v>
      </c>
      <c r="P54" s="11" t="e" cm="1">
        <f t="array" ref="P54">_xlfn.STOCKHISTORY(B54,"10/02/2026","10/02/2026",0,0)</f>
        <v>#VALUE!</v>
      </c>
      <c r="Q54" s="25"/>
    </row>
    <row r="55" spans="1:17" ht="13.5" thickBot="1" x14ac:dyDescent="0.25">
      <c r="A55" s="11">
        <v>54</v>
      </c>
      <c r="B55" s="21" t="s">
        <v>242</v>
      </c>
      <c r="C55" s="22" t="s">
        <v>243</v>
      </c>
      <c r="D55" s="22" t="s">
        <v>8</v>
      </c>
      <c r="E55" s="62">
        <v>462883017</v>
      </c>
      <c r="F55" s="23">
        <v>0.30599999999999999</v>
      </c>
      <c r="G55" s="28">
        <f t="shared" si="3"/>
        <v>3.0599999999999998E-3</v>
      </c>
      <c r="I55" s="25">
        <f t="shared" si="5"/>
        <v>0</v>
      </c>
      <c r="J55" s="31"/>
      <c r="L55" s="26">
        <f t="shared" si="4"/>
        <v>0</v>
      </c>
      <c r="P55" s="11" t="e" cm="1">
        <f t="array" ref="P55">_xlfn.STOCKHISTORY(B55,"10/02/2026","10/02/2026",0,0)</f>
        <v>#VALUE!</v>
      </c>
      <c r="Q55" s="25"/>
    </row>
    <row r="56" spans="1:17" ht="13.5" thickBot="1" x14ac:dyDescent="0.25">
      <c r="A56" s="11">
        <v>55</v>
      </c>
      <c r="B56" s="21" t="s">
        <v>101</v>
      </c>
      <c r="C56" s="22" t="s">
        <v>102</v>
      </c>
      <c r="D56" s="22" t="s">
        <v>5</v>
      </c>
      <c r="E56" s="62">
        <v>830615826</v>
      </c>
      <c r="F56" s="23">
        <v>0.30499999999999999</v>
      </c>
      <c r="G56" s="28">
        <f t="shared" si="3"/>
        <v>3.0499999999999998E-3</v>
      </c>
      <c r="I56" s="25">
        <f t="shared" si="5"/>
        <v>0</v>
      </c>
      <c r="J56" s="31"/>
      <c r="L56" s="26">
        <f t="shared" si="4"/>
        <v>0</v>
      </c>
      <c r="P56" s="11" t="e" cm="1">
        <f t="array" ref="P56">_xlfn.STOCKHISTORY(B56,"10/02/2026","10/02/2026",0,0)</f>
        <v>#VALUE!</v>
      </c>
      <c r="Q56" s="25"/>
    </row>
    <row r="57" spans="1:17" ht="13.5" thickBot="1" x14ac:dyDescent="0.25">
      <c r="A57" s="11">
        <v>56</v>
      </c>
      <c r="B57" s="21" t="s">
        <v>71</v>
      </c>
      <c r="C57" s="22" t="s">
        <v>72</v>
      </c>
      <c r="D57" s="22" t="s">
        <v>8</v>
      </c>
      <c r="E57" s="62">
        <v>256055995</v>
      </c>
      <c r="F57" s="23">
        <v>0.29099999999999998</v>
      </c>
      <c r="G57" s="28">
        <f t="shared" si="3"/>
        <v>2.9099999999999998E-3</v>
      </c>
      <c r="I57" s="25">
        <f t="shared" si="5"/>
        <v>0</v>
      </c>
      <c r="J57" s="31"/>
      <c r="L57" s="26">
        <f t="shared" si="4"/>
        <v>0</v>
      </c>
      <c r="P57" s="11" t="e" cm="1">
        <f t="array" ref="P57">_xlfn.STOCKHISTORY(B57,"10/02/2026","10/02/2026",0,0)</f>
        <v>#VALUE!</v>
      </c>
      <c r="Q57" s="25"/>
    </row>
    <row r="58" spans="1:17" ht="13.5" thickBot="1" x14ac:dyDescent="0.25">
      <c r="A58" s="11">
        <v>57</v>
      </c>
      <c r="B58" s="21" t="s">
        <v>109</v>
      </c>
      <c r="C58" s="22" t="s">
        <v>110</v>
      </c>
      <c r="D58" s="22" t="s">
        <v>509</v>
      </c>
      <c r="E58" s="62">
        <v>329017784</v>
      </c>
      <c r="F58" s="23">
        <v>0.28799999999999998</v>
      </c>
      <c r="G58" s="28">
        <f t="shared" si="3"/>
        <v>2.8799999999999997E-3</v>
      </c>
      <c r="I58" s="25">
        <f t="shared" si="5"/>
        <v>0</v>
      </c>
      <c r="J58" s="31"/>
      <c r="L58" s="26">
        <f t="shared" si="4"/>
        <v>0</v>
      </c>
      <c r="P58" s="11" t="e" cm="1">
        <f t="array" ref="P58">_xlfn.STOCKHISTORY(B58,"10/02/2026","10/02/2026",0,0)</f>
        <v>#VALUE!</v>
      </c>
      <c r="Q58" s="25"/>
    </row>
    <row r="59" spans="1:17" ht="13.5" thickBot="1" x14ac:dyDescent="0.25">
      <c r="A59" s="11">
        <v>58</v>
      </c>
      <c r="B59" s="21" t="s">
        <v>273</v>
      </c>
      <c r="C59" s="22" t="s">
        <v>274</v>
      </c>
      <c r="D59" s="22" t="s">
        <v>8</v>
      </c>
      <c r="E59" s="62">
        <v>838359453</v>
      </c>
      <c r="F59" s="23">
        <v>0.28599999999999998</v>
      </c>
      <c r="G59" s="28">
        <f t="shared" si="3"/>
        <v>2.8599999999999997E-3</v>
      </c>
      <c r="I59" s="25">
        <f t="shared" si="5"/>
        <v>0</v>
      </c>
      <c r="J59" s="31"/>
      <c r="L59" s="26">
        <f t="shared" si="4"/>
        <v>0</v>
      </c>
      <c r="P59" s="11" t="e" cm="1">
        <f t="array" ref="P59">_xlfn.STOCKHISTORY(B59,"10/02/2026","10/02/2026",0,0)</f>
        <v>#VALUE!</v>
      </c>
      <c r="Q59" s="25"/>
    </row>
    <row r="60" spans="1:17" ht="13.5" thickBot="1" x14ac:dyDescent="0.25">
      <c r="A60" s="11">
        <v>59</v>
      </c>
      <c r="B60" s="21" t="s">
        <v>95</v>
      </c>
      <c r="C60" s="22" t="s">
        <v>96</v>
      </c>
      <c r="D60" s="22" t="s">
        <v>8</v>
      </c>
      <c r="E60" s="62">
        <v>447150822</v>
      </c>
      <c r="F60" s="23">
        <v>0.27900000000000003</v>
      </c>
      <c r="G60" s="28">
        <f t="shared" si="3"/>
        <v>2.7900000000000004E-3</v>
      </c>
      <c r="I60" s="25">
        <f t="shared" si="5"/>
        <v>0</v>
      </c>
      <c r="J60" s="31"/>
      <c r="L60" s="26">
        <f t="shared" si="4"/>
        <v>0</v>
      </c>
      <c r="P60" s="11" t="e" cm="1">
        <f t="array" ref="P60">_xlfn.STOCKHISTORY(B60,"10/02/2026","10/02/2026",0,0)</f>
        <v>#VALUE!</v>
      </c>
      <c r="Q60" s="25"/>
    </row>
    <row r="61" spans="1:17" ht="13.5" thickBot="1" x14ac:dyDescent="0.25">
      <c r="A61" s="11">
        <v>60</v>
      </c>
      <c r="B61" s="21" t="s">
        <v>54</v>
      </c>
      <c r="C61" s="22" t="s">
        <v>55</v>
      </c>
      <c r="D61" s="22" t="s">
        <v>8</v>
      </c>
      <c r="E61" s="62">
        <v>1914692857</v>
      </c>
      <c r="F61" s="23">
        <v>0.26800000000000002</v>
      </c>
      <c r="G61" s="28">
        <f t="shared" si="3"/>
        <v>2.6800000000000001E-3</v>
      </c>
      <c r="I61" s="25">
        <f t="shared" si="5"/>
        <v>0</v>
      </c>
      <c r="J61" s="31"/>
      <c r="L61" s="26">
        <f t="shared" si="4"/>
        <v>0</v>
      </c>
      <c r="P61" s="11" t="e" cm="1">
        <f t="array" ref="P61">_xlfn.STOCKHISTORY(B61,"10/02/2026","10/02/2026",0,0)</f>
        <v>#VALUE!</v>
      </c>
      <c r="Q61" s="25"/>
    </row>
    <row r="62" spans="1:17" ht="13.5" thickBot="1" x14ac:dyDescent="0.25">
      <c r="A62" s="11">
        <v>61</v>
      </c>
      <c r="B62" s="21" t="s">
        <v>67</v>
      </c>
      <c r="C62" s="22" t="s">
        <v>68</v>
      </c>
      <c r="D62" s="22" t="s">
        <v>2</v>
      </c>
      <c r="E62" s="62">
        <v>727975012</v>
      </c>
      <c r="F62" s="23">
        <v>0.26400000000000001</v>
      </c>
      <c r="G62" s="28">
        <f t="shared" si="3"/>
        <v>2.64E-3</v>
      </c>
      <c r="I62" s="25">
        <f t="shared" si="5"/>
        <v>0</v>
      </c>
      <c r="J62" s="31"/>
      <c r="L62" s="26">
        <f t="shared" si="4"/>
        <v>0</v>
      </c>
      <c r="P62" s="11" t="e" cm="1">
        <f t="array" ref="P62">_xlfn.STOCKHISTORY(B62,"10/02/2026","10/02/2026",0,0)</f>
        <v>#VALUE!</v>
      </c>
      <c r="Q62" s="25"/>
    </row>
    <row r="63" spans="1:17" ht="13.5" thickBot="1" x14ac:dyDescent="0.25">
      <c r="A63" s="11">
        <v>62</v>
      </c>
      <c r="B63" s="21" t="s">
        <v>35</v>
      </c>
      <c r="C63" s="22" t="s">
        <v>36</v>
      </c>
      <c r="D63" s="22" t="s">
        <v>5</v>
      </c>
      <c r="E63" s="62">
        <v>250914708</v>
      </c>
      <c r="F63" s="23">
        <v>0.22700000000000001</v>
      </c>
      <c r="G63" s="28">
        <f t="shared" si="3"/>
        <v>2.2699999999999999E-3</v>
      </c>
      <c r="I63" s="25">
        <f t="shared" si="5"/>
        <v>0</v>
      </c>
      <c r="J63" s="31"/>
      <c r="L63" s="26">
        <f t="shared" si="4"/>
        <v>0</v>
      </c>
      <c r="P63" s="11" t="e" cm="1">
        <f t="array" ref="P63">_xlfn.STOCKHISTORY(B63,"10/02/2026","10/02/2026",0,0)</f>
        <v>#VALUE!</v>
      </c>
      <c r="Q63" s="25"/>
    </row>
    <row r="64" spans="1:17" ht="14.25" customHeight="1" thickBot="1" x14ac:dyDescent="0.25">
      <c r="A64" s="11">
        <v>63</v>
      </c>
      <c r="B64" s="21" t="s">
        <v>252</v>
      </c>
      <c r="C64" s="22" t="s">
        <v>253</v>
      </c>
      <c r="D64" s="22" t="s">
        <v>58</v>
      </c>
      <c r="E64" s="62">
        <v>160988231</v>
      </c>
      <c r="F64" s="23">
        <v>0.22600000000000001</v>
      </c>
      <c r="G64" s="28">
        <f t="shared" si="3"/>
        <v>2.2599999999999999E-3</v>
      </c>
      <c r="I64" s="25">
        <f t="shared" si="5"/>
        <v>0</v>
      </c>
      <c r="J64" s="31"/>
      <c r="L64" s="26">
        <f t="shared" si="4"/>
        <v>0</v>
      </c>
      <c r="P64" s="11" t="e" cm="1">
        <f t="array" ref="P64">_xlfn.STOCKHISTORY(B64,"10/02/2026","10/02/2026",0,0)</f>
        <v>#VALUE!</v>
      </c>
      <c r="Q64" s="25"/>
    </row>
    <row r="65" spans="1:17" ht="13.5" thickBot="1" x14ac:dyDescent="0.25">
      <c r="A65" s="11">
        <v>64</v>
      </c>
      <c r="B65" s="21" t="s">
        <v>201</v>
      </c>
      <c r="C65" s="22" t="s">
        <v>202</v>
      </c>
      <c r="D65" s="22" t="s">
        <v>203</v>
      </c>
      <c r="E65" s="62">
        <v>211401696</v>
      </c>
      <c r="F65" s="23">
        <v>0.22600000000000001</v>
      </c>
      <c r="G65" s="28">
        <f t="shared" si="3"/>
        <v>2.2599999999999999E-3</v>
      </c>
      <c r="I65" s="25">
        <f t="shared" si="5"/>
        <v>0</v>
      </c>
      <c r="J65" s="31"/>
      <c r="L65" s="26">
        <f t="shared" si="4"/>
        <v>0</v>
      </c>
      <c r="P65" s="11" t="e" cm="1">
        <f t="array" ref="P65">_xlfn.STOCKHISTORY(B65,"10/02/2026","10/02/2026",0,0)</f>
        <v>#VALUE!</v>
      </c>
      <c r="Q65" s="25"/>
    </row>
    <row r="66" spans="1:17" ht="13.5" thickBot="1" x14ac:dyDescent="0.25">
      <c r="A66" s="11">
        <v>65</v>
      </c>
      <c r="B66" s="21" t="s">
        <v>255</v>
      </c>
      <c r="C66" s="22" t="s">
        <v>256</v>
      </c>
      <c r="D66" s="22" t="s">
        <v>8</v>
      </c>
      <c r="E66" s="62">
        <v>325640184</v>
      </c>
      <c r="F66" s="23">
        <v>0.19</v>
      </c>
      <c r="G66" s="28">
        <f t="shared" ref="G66:G86" si="6">F66/100</f>
        <v>1.9E-3</v>
      </c>
      <c r="I66" s="25">
        <f t="shared" si="5"/>
        <v>0</v>
      </c>
      <c r="J66" s="31"/>
      <c r="L66" s="26">
        <f t="shared" ref="L66:L86" si="7">I66*E66</f>
        <v>0</v>
      </c>
      <c r="P66" s="11" t="e" cm="1">
        <f t="array" ref="P66">_xlfn.STOCKHISTORY(B66,"10/02/2026","10/02/2026",0,0)</f>
        <v>#VALUE!</v>
      </c>
      <c r="Q66" s="25"/>
    </row>
    <row r="67" spans="1:17" ht="13.5" thickBot="1" x14ac:dyDescent="0.25">
      <c r="A67" s="11">
        <v>66</v>
      </c>
      <c r="B67" s="21" t="s">
        <v>113</v>
      </c>
      <c r="C67" s="22" t="s">
        <v>114</v>
      </c>
      <c r="D67" s="22" t="s">
        <v>8</v>
      </c>
      <c r="E67" s="62">
        <v>81838787</v>
      </c>
      <c r="F67" s="23">
        <v>0.17599999999999999</v>
      </c>
      <c r="G67" s="28">
        <f t="shared" si="6"/>
        <v>1.7599999999999998E-3</v>
      </c>
      <c r="I67" s="25">
        <f t="shared" ref="I67:I86" si="8">Q67</f>
        <v>0</v>
      </c>
      <c r="J67" s="31"/>
      <c r="L67" s="26">
        <f t="shared" si="7"/>
        <v>0</v>
      </c>
      <c r="P67" s="11" t="e" cm="1">
        <f t="array" ref="P67">_xlfn.STOCKHISTORY(B67,"10/02/2026","10/02/2026",0,0)</f>
        <v>#VALUE!</v>
      </c>
      <c r="Q67" s="25"/>
    </row>
    <row r="68" spans="1:17" ht="13.5" thickBot="1" x14ac:dyDescent="0.25">
      <c r="A68" s="11">
        <v>67</v>
      </c>
      <c r="B68" s="21" t="s">
        <v>268</v>
      </c>
      <c r="C68" s="22" t="s">
        <v>269</v>
      </c>
      <c r="D68" s="22" t="s">
        <v>13</v>
      </c>
      <c r="E68" s="62">
        <v>727730867</v>
      </c>
      <c r="F68" s="23">
        <v>0.17299999999999999</v>
      </c>
      <c r="G68" s="28">
        <f t="shared" si="6"/>
        <v>1.7299999999999998E-3</v>
      </c>
      <c r="I68" s="25">
        <f t="shared" si="8"/>
        <v>0</v>
      </c>
      <c r="J68" s="31"/>
      <c r="L68" s="26">
        <f t="shared" si="7"/>
        <v>0</v>
      </c>
      <c r="P68" s="11" t="e" cm="1">
        <f t="array" ref="P68">_xlfn.STOCKHISTORY(B68,"10/02/2026","10/02/2026",0,0)</f>
        <v>#VALUE!</v>
      </c>
      <c r="Q68" s="25"/>
    </row>
    <row r="69" spans="1:17" ht="13.5" thickBot="1" x14ac:dyDescent="0.25">
      <c r="A69" s="11">
        <v>68</v>
      </c>
      <c r="B69" s="21" t="s">
        <v>134</v>
      </c>
      <c r="C69" s="22" t="s">
        <v>135</v>
      </c>
      <c r="D69" s="22" t="s">
        <v>8</v>
      </c>
      <c r="E69" s="62">
        <v>373185407</v>
      </c>
      <c r="F69" s="23">
        <v>0.151</v>
      </c>
      <c r="G69" s="28">
        <f t="shared" si="6"/>
        <v>1.5100000000000001E-3</v>
      </c>
      <c r="I69" s="25">
        <f t="shared" si="8"/>
        <v>0</v>
      </c>
      <c r="J69" s="31"/>
      <c r="L69" s="26">
        <f t="shared" si="7"/>
        <v>0</v>
      </c>
      <c r="P69" s="11" t="e" cm="1">
        <f t="array" ref="P69">_xlfn.STOCKHISTORY(B69,"10/02/2026","10/02/2026",0,0)</f>
        <v>#VALUE!</v>
      </c>
      <c r="Q69" s="25"/>
    </row>
    <row r="70" spans="1:17" ht="13.5" thickBot="1" x14ac:dyDescent="0.25">
      <c r="A70" s="11">
        <v>69</v>
      </c>
      <c r="B70" s="21" t="s">
        <v>231</v>
      </c>
      <c r="C70" s="22" t="s">
        <v>232</v>
      </c>
      <c r="D70" s="22" t="s">
        <v>8</v>
      </c>
      <c r="E70" s="62">
        <v>318338365</v>
      </c>
      <c r="F70" s="23">
        <v>0.13500000000000001</v>
      </c>
      <c r="G70" s="28">
        <f t="shared" si="6"/>
        <v>1.3500000000000001E-3</v>
      </c>
      <c r="I70" s="25">
        <f t="shared" si="8"/>
        <v>0</v>
      </c>
      <c r="J70" s="31"/>
      <c r="L70" s="26">
        <f t="shared" si="7"/>
        <v>0</v>
      </c>
      <c r="P70" s="11" t="e" cm="1">
        <f t="array" ref="P70">_xlfn.STOCKHISTORY(B70,"10/02/2026","10/02/2026",0,0)</f>
        <v>#VALUE!</v>
      </c>
      <c r="Q70" s="25"/>
    </row>
    <row r="71" spans="1:17" ht="13.5" thickBot="1" x14ac:dyDescent="0.25">
      <c r="A71" s="11">
        <v>70</v>
      </c>
      <c r="B71" s="21" t="s">
        <v>193</v>
      </c>
      <c r="C71" s="22" t="s">
        <v>194</v>
      </c>
      <c r="D71" s="22" t="s">
        <v>8</v>
      </c>
      <c r="E71" s="62">
        <v>261365845</v>
      </c>
      <c r="F71" s="23">
        <v>0.13200000000000001</v>
      </c>
      <c r="G71" s="28">
        <f t="shared" si="6"/>
        <v>1.32E-3</v>
      </c>
      <c r="I71" s="25">
        <f t="shared" si="8"/>
        <v>0</v>
      </c>
      <c r="J71" s="31"/>
      <c r="L71" s="26">
        <f t="shared" si="7"/>
        <v>0</v>
      </c>
      <c r="P71" s="11" t="e" cm="1">
        <f t="array" ref="P71">_xlfn.STOCKHISTORY(B71,"10/02/2026","10/02/2026",0,0)</f>
        <v>#VALUE!</v>
      </c>
      <c r="Q71" s="25"/>
    </row>
    <row r="72" spans="1:17" ht="13.5" thickBot="1" x14ac:dyDescent="0.25">
      <c r="A72" s="11">
        <v>71</v>
      </c>
      <c r="B72" s="21" t="s">
        <v>228</v>
      </c>
      <c r="C72" s="22" t="s">
        <v>229</v>
      </c>
      <c r="D72" s="22" t="s">
        <v>8</v>
      </c>
      <c r="E72" s="62">
        <v>123177361</v>
      </c>
      <c r="F72" s="23">
        <v>0.13100000000000001</v>
      </c>
      <c r="G72" s="28">
        <f t="shared" si="6"/>
        <v>1.31E-3</v>
      </c>
      <c r="I72" s="25">
        <f t="shared" si="8"/>
        <v>0</v>
      </c>
      <c r="J72" s="31"/>
      <c r="L72" s="26">
        <f t="shared" si="7"/>
        <v>0</v>
      </c>
      <c r="P72" s="11" t="e" cm="1">
        <f t="array" ref="P72">_xlfn.STOCKHISTORY(B72,"10/02/2026","10/02/2026",0,0)</f>
        <v>#VALUE!</v>
      </c>
      <c r="Q72" s="25"/>
    </row>
    <row r="73" spans="1:17" ht="13.5" thickBot="1" x14ac:dyDescent="0.25">
      <c r="A73" s="11">
        <v>72</v>
      </c>
      <c r="B73" s="21" t="s">
        <v>210</v>
      </c>
      <c r="C73" s="22" t="s">
        <v>211</v>
      </c>
      <c r="D73" s="22" t="s">
        <v>8</v>
      </c>
      <c r="E73" s="62">
        <v>222404640</v>
      </c>
      <c r="F73" s="23">
        <v>0.13</v>
      </c>
      <c r="G73" s="28">
        <f t="shared" si="6"/>
        <v>1.2999999999999999E-3</v>
      </c>
      <c r="I73" s="25">
        <f t="shared" si="8"/>
        <v>0</v>
      </c>
      <c r="J73" s="31"/>
      <c r="L73" s="26">
        <f t="shared" si="7"/>
        <v>0</v>
      </c>
      <c r="P73" s="11" t="e" cm="1">
        <f t="array" ref="P73">_xlfn.STOCKHISTORY(B73,"10/02/2026","10/02/2026",0,0)</f>
        <v>#VALUE!</v>
      </c>
      <c r="Q73" s="25"/>
    </row>
    <row r="74" spans="1:17" ht="13.5" thickBot="1" x14ac:dyDescent="0.25">
      <c r="A74" s="11">
        <v>73</v>
      </c>
      <c r="B74" s="21" t="s">
        <v>138</v>
      </c>
      <c r="C74" s="22" t="s">
        <v>139</v>
      </c>
      <c r="D74" s="22" t="s">
        <v>8</v>
      </c>
      <c r="E74" s="62">
        <v>374670758</v>
      </c>
      <c r="F74" s="23">
        <v>0.126</v>
      </c>
      <c r="G74" s="28">
        <f t="shared" si="6"/>
        <v>1.2600000000000001E-3</v>
      </c>
      <c r="I74" s="25">
        <f t="shared" si="8"/>
        <v>0</v>
      </c>
      <c r="J74" s="31"/>
      <c r="L74" s="26">
        <f t="shared" si="7"/>
        <v>0</v>
      </c>
      <c r="P74" s="11" t="e" cm="1">
        <f t="array" ref="P74">_xlfn.STOCKHISTORY(B74,"10/02/2026","10/02/2026",0,0)</f>
        <v>#VALUE!</v>
      </c>
      <c r="Q74" s="25"/>
    </row>
    <row r="75" spans="1:17" ht="13.5" thickBot="1" x14ac:dyDescent="0.25">
      <c r="A75" s="11">
        <v>74</v>
      </c>
      <c r="B75" s="21" t="s">
        <v>234</v>
      </c>
      <c r="C75" s="22" t="s">
        <v>235</v>
      </c>
      <c r="D75" s="22" t="s">
        <v>8</v>
      </c>
      <c r="E75" s="62">
        <v>132447688</v>
      </c>
      <c r="F75" s="23">
        <v>0.125</v>
      </c>
      <c r="G75" s="28">
        <f t="shared" si="6"/>
        <v>1.25E-3</v>
      </c>
      <c r="I75" s="25">
        <f t="shared" si="8"/>
        <v>0</v>
      </c>
      <c r="J75" s="31"/>
      <c r="L75" s="26">
        <f t="shared" si="7"/>
        <v>0</v>
      </c>
      <c r="P75" s="11" t="e" cm="1">
        <f t="array" ref="P75">_xlfn.STOCKHISTORY(B75,"10/02/2026","10/02/2026",0,0)</f>
        <v>#VALUE!</v>
      </c>
      <c r="Q75" s="25"/>
    </row>
    <row r="76" spans="1:17" ht="13.5" thickBot="1" x14ac:dyDescent="0.25">
      <c r="A76" s="11">
        <v>75</v>
      </c>
      <c r="B76" s="21" t="s">
        <v>105</v>
      </c>
      <c r="C76" s="22" t="s">
        <v>106</v>
      </c>
      <c r="D76" s="22" t="s">
        <v>8</v>
      </c>
      <c r="E76" s="62">
        <v>287507905</v>
      </c>
      <c r="F76" s="23">
        <v>0.121</v>
      </c>
      <c r="G76" s="28">
        <f t="shared" si="6"/>
        <v>1.2099999999999999E-3</v>
      </c>
      <c r="I76" s="25">
        <f t="shared" si="8"/>
        <v>0</v>
      </c>
      <c r="J76" s="31"/>
      <c r="L76" s="26">
        <f t="shared" si="7"/>
        <v>0</v>
      </c>
      <c r="P76" s="11" t="e" cm="1">
        <f t="array" ref="P76">_xlfn.STOCKHISTORY(B76,"10/02/2026","10/02/2026",0,0)</f>
        <v>#VALUE!</v>
      </c>
      <c r="Q76" s="25"/>
    </row>
    <row r="77" spans="1:17" ht="13.5" thickBot="1" x14ac:dyDescent="0.25">
      <c r="A77" s="11">
        <v>76</v>
      </c>
      <c r="B77" s="21" t="s">
        <v>182</v>
      </c>
      <c r="C77" s="22" t="s">
        <v>183</v>
      </c>
      <c r="D77" s="22" t="s">
        <v>43</v>
      </c>
      <c r="E77" s="62">
        <v>515117999</v>
      </c>
      <c r="F77" s="23">
        <v>0.11899999999999999</v>
      </c>
      <c r="G77" s="28">
        <f t="shared" si="6"/>
        <v>1.1899999999999999E-3</v>
      </c>
      <c r="I77" s="25">
        <f t="shared" si="8"/>
        <v>0</v>
      </c>
      <c r="J77" s="31"/>
      <c r="L77" s="26">
        <f t="shared" si="7"/>
        <v>0</v>
      </c>
      <c r="P77" s="11" t="e" cm="1">
        <f t="array" ref="P77">_xlfn.STOCKHISTORY(B77,"10/02/2026","10/02/2026",0,0)</f>
        <v>#VALUE!</v>
      </c>
      <c r="Q77" s="25"/>
    </row>
    <row r="78" spans="1:17" ht="13.5" thickBot="1" x14ac:dyDescent="0.25">
      <c r="A78" s="11">
        <v>77</v>
      </c>
      <c r="B78" s="21" t="s">
        <v>206</v>
      </c>
      <c r="C78" s="22" t="s">
        <v>207</v>
      </c>
      <c r="D78" s="22" t="s">
        <v>8</v>
      </c>
      <c r="E78" s="62">
        <v>274630892</v>
      </c>
      <c r="F78" s="23">
        <v>0.111</v>
      </c>
      <c r="G78" s="28">
        <f t="shared" si="6"/>
        <v>1.1100000000000001E-3</v>
      </c>
      <c r="I78" s="25">
        <f t="shared" si="8"/>
        <v>0</v>
      </c>
      <c r="J78" s="31"/>
      <c r="L78" s="26">
        <f t="shared" si="7"/>
        <v>0</v>
      </c>
      <c r="P78" s="11" t="e" cm="1">
        <f t="array" ref="P78">_xlfn.STOCKHISTORY(B78,"10/02/2026","10/02/2026",0,0)</f>
        <v>#VALUE!</v>
      </c>
      <c r="Q78" s="25"/>
    </row>
    <row r="79" spans="1:17" ht="13.5" thickBot="1" x14ac:dyDescent="0.25">
      <c r="A79" s="11">
        <v>78</v>
      </c>
      <c r="B79" s="21" t="s">
        <v>25</v>
      </c>
      <c r="C79" s="22" t="s">
        <v>26</v>
      </c>
      <c r="D79" s="22" t="s">
        <v>8</v>
      </c>
      <c r="E79" s="62">
        <v>439073587</v>
      </c>
      <c r="F79" s="23">
        <v>9.9000000000000005E-2</v>
      </c>
      <c r="G79" s="28">
        <f t="shared" si="6"/>
        <v>9.8999999999999999E-4</v>
      </c>
      <c r="I79" s="25">
        <f t="shared" si="8"/>
        <v>0</v>
      </c>
      <c r="J79" s="31"/>
      <c r="K79" s="31"/>
      <c r="L79" s="26">
        <f t="shared" si="7"/>
        <v>0</v>
      </c>
      <c r="N79" s="26">
        <f>SUM(L2:L79)</f>
        <v>14585389056.84</v>
      </c>
      <c r="P79" s="11" t="e" cm="1">
        <f t="array" ref="P79">_xlfn.STOCKHISTORY(B79,"10/02/2026","10/02/2026",0,0)</f>
        <v>#VALUE!</v>
      </c>
      <c r="Q79" s="25"/>
    </row>
    <row r="80" spans="1:17" ht="13.5" thickBot="1" x14ac:dyDescent="0.25">
      <c r="A80" s="11">
        <v>79</v>
      </c>
      <c r="B80" s="21" t="s">
        <v>248</v>
      </c>
      <c r="C80" s="22" t="s">
        <v>249</v>
      </c>
      <c r="D80" s="22" t="s">
        <v>8</v>
      </c>
      <c r="E80" s="62">
        <v>204964309</v>
      </c>
      <c r="F80" s="23">
        <v>9.8000000000000004E-2</v>
      </c>
      <c r="G80" s="28">
        <f t="shared" si="6"/>
        <v>9.7999999999999997E-4</v>
      </c>
      <c r="I80" s="25">
        <f t="shared" si="8"/>
        <v>0</v>
      </c>
      <c r="J80" s="31"/>
      <c r="L80" s="26">
        <f t="shared" si="7"/>
        <v>0</v>
      </c>
      <c r="P80" s="11" t="e" cm="1">
        <f t="array" ref="P80">_xlfn.STOCKHISTORY(B80,"10/02/2026","10/02/2026",0,0)</f>
        <v>#VALUE!</v>
      </c>
      <c r="Q80" s="25"/>
    </row>
    <row r="81" spans="1:17" ht="13.5" thickBot="1" x14ac:dyDescent="0.25">
      <c r="A81" s="11">
        <v>80</v>
      </c>
      <c r="B81" s="21" t="s">
        <v>41</v>
      </c>
      <c r="C81" s="22" t="s">
        <v>42</v>
      </c>
      <c r="D81" s="22" t="s">
        <v>43</v>
      </c>
      <c r="E81" s="62">
        <v>265876767</v>
      </c>
      <c r="F81" s="23">
        <v>9.4E-2</v>
      </c>
      <c r="G81" s="28">
        <f t="shared" si="6"/>
        <v>9.3999999999999997E-4</v>
      </c>
      <c r="I81" s="25">
        <f t="shared" si="8"/>
        <v>0</v>
      </c>
      <c r="J81" s="31"/>
      <c r="L81" s="26">
        <f t="shared" si="7"/>
        <v>0</v>
      </c>
      <c r="P81" s="11" t="e" cm="1">
        <f t="array" ref="P81">_xlfn.STOCKHISTORY(B81,"10/02/2026","10/02/2026",0,0)</f>
        <v>#VALUE!</v>
      </c>
      <c r="Q81" s="25"/>
    </row>
    <row r="82" spans="1:17" ht="13.5" thickBot="1" x14ac:dyDescent="0.25">
      <c r="A82" s="11">
        <v>81</v>
      </c>
      <c r="B82" s="21" t="s">
        <v>513</v>
      </c>
      <c r="C82" s="22" t="s">
        <v>163</v>
      </c>
      <c r="D82" s="22" t="s">
        <v>497</v>
      </c>
      <c r="E82" s="62">
        <v>37577993</v>
      </c>
      <c r="F82" s="23">
        <v>6.8000000000000005E-2</v>
      </c>
      <c r="G82" s="28">
        <f t="shared" si="6"/>
        <v>6.8000000000000005E-4</v>
      </c>
      <c r="I82" s="25">
        <f t="shared" si="8"/>
        <v>0</v>
      </c>
      <c r="J82" s="31"/>
      <c r="L82" s="26">
        <f t="shared" si="7"/>
        <v>0</v>
      </c>
      <c r="P82" s="11" t="e" cm="1">
        <f t="array" ref="P82">_xlfn.STOCKHISTORY(B82,"10/02/2026","10/02/2026",0,0)</f>
        <v>#VALUE!</v>
      </c>
      <c r="Q82" s="25"/>
    </row>
    <row r="83" spans="1:17" ht="13.5" thickBot="1" x14ac:dyDescent="0.25">
      <c r="A83" s="11">
        <v>82</v>
      </c>
      <c r="B83" s="21" t="s">
        <v>216</v>
      </c>
      <c r="C83" s="22" t="s">
        <v>217</v>
      </c>
      <c r="D83" s="22" t="s">
        <v>8</v>
      </c>
      <c r="E83" s="62">
        <v>390902974</v>
      </c>
      <c r="F83" s="23">
        <v>6.4000000000000001E-2</v>
      </c>
      <c r="G83" s="28">
        <f t="shared" si="6"/>
        <v>6.4000000000000005E-4</v>
      </c>
      <c r="I83" s="25">
        <f t="shared" si="8"/>
        <v>0</v>
      </c>
      <c r="J83" s="31"/>
      <c r="L83" s="26">
        <f t="shared" si="7"/>
        <v>0</v>
      </c>
      <c r="P83" s="11" t="e" cm="1">
        <f t="array" ref="P83">_xlfn.STOCKHISTORY(B83,"10/02/2026","10/02/2026",0,0)</f>
        <v>#VALUE!</v>
      </c>
      <c r="Q83" s="25"/>
    </row>
    <row r="84" spans="1:17" ht="13.5" thickBot="1" x14ac:dyDescent="0.25">
      <c r="A84" s="11">
        <v>83</v>
      </c>
      <c r="B84" s="21" t="s">
        <v>145</v>
      </c>
      <c r="C84" s="22" t="s">
        <v>146</v>
      </c>
      <c r="D84" s="22" t="s">
        <v>8</v>
      </c>
      <c r="E84" s="62">
        <v>433412603</v>
      </c>
      <c r="F84" s="23">
        <v>5.8999999999999997E-2</v>
      </c>
      <c r="G84" s="28">
        <f t="shared" si="6"/>
        <v>5.8999999999999992E-4</v>
      </c>
      <c r="I84" s="25">
        <f t="shared" si="8"/>
        <v>0</v>
      </c>
      <c r="J84" s="31"/>
      <c r="L84" s="26">
        <f t="shared" si="7"/>
        <v>0</v>
      </c>
      <c r="P84" s="11" t="e" cm="1">
        <f t="array" ref="P84">_xlfn.STOCKHISTORY(B84,"10/02/2026","10/02/2026",0,0)</f>
        <v>#VALUE!</v>
      </c>
      <c r="Q84" s="25"/>
    </row>
    <row r="85" spans="1:17" ht="13.5" thickBot="1" x14ac:dyDescent="0.25">
      <c r="A85" s="11">
        <v>84</v>
      </c>
      <c r="B85" s="21" t="s">
        <v>496</v>
      </c>
      <c r="C85" s="22" t="s">
        <v>72</v>
      </c>
      <c r="D85" s="22" t="s">
        <v>497</v>
      </c>
      <c r="E85" s="62">
        <v>48543949</v>
      </c>
      <c r="F85" s="23">
        <v>5.1999999999999998E-2</v>
      </c>
      <c r="G85" s="28">
        <f t="shared" si="6"/>
        <v>5.1999999999999995E-4</v>
      </c>
      <c r="I85" s="25">
        <f t="shared" si="8"/>
        <v>0</v>
      </c>
      <c r="J85" s="31"/>
      <c r="L85" s="26">
        <f t="shared" si="7"/>
        <v>0</v>
      </c>
      <c r="P85" s="11" t="e" cm="1">
        <f t="array" ref="P85">_xlfn.STOCKHISTORY(B85,"10/02/2026","10/02/2026",0,0)</f>
        <v>#VALUE!</v>
      </c>
      <c r="Q85" s="25"/>
    </row>
    <row r="86" spans="1:17" ht="13.5" thickBot="1" x14ac:dyDescent="0.25">
      <c r="A86" s="11">
        <v>85</v>
      </c>
      <c r="B86" s="21" t="s">
        <v>204</v>
      </c>
      <c r="C86" s="22" t="s">
        <v>205</v>
      </c>
      <c r="D86" s="22" t="s">
        <v>13</v>
      </c>
      <c r="E86" s="62">
        <v>1198936529</v>
      </c>
      <c r="F86" s="23">
        <v>3.6999999999999998E-2</v>
      </c>
      <c r="G86" s="28">
        <f t="shared" si="6"/>
        <v>3.6999999999999999E-4</v>
      </c>
      <c r="I86" s="25">
        <f t="shared" si="8"/>
        <v>0</v>
      </c>
      <c r="J86" s="31"/>
      <c r="L86" s="26">
        <f t="shared" si="7"/>
        <v>0</v>
      </c>
      <c r="P86" s="11" t="e" cm="1">
        <f t="array" ref="P86">_xlfn.STOCKHISTORY(B86,"10/02/2026","10/02/2026",0,0)</f>
        <v>#VALUE!</v>
      </c>
      <c r="Q86" s="25"/>
    </row>
    <row r="88" spans="1:17" x14ac:dyDescent="0.2">
      <c r="E88" s="55">
        <f>SUM(E2:E86)</f>
        <v>92835730986</v>
      </c>
      <c r="J88" s="30"/>
      <c r="L88" s="34">
        <f>SUM(L2:L86)</f>
        <v>14585389056.84</v>
      </c>
    </row>
    <row r="89" spans="1:17" x14ac:dyDescent="0.2">
      <c r="E89" s="34">
        <v>14557735.278059701</v>
      </c>
    </row>
    <row r="91" spans="1:17" x14ac:dyDescent="0.2">
      <c r="E91" s="26"/>
      <c r="K91" s="11" t="s">
        <v>617</v>
      </c>
      <c r="L91" s="36">
        <f>L88/E89</f>
        <v>1001.8995934636878</v>
      </c>
    </row>
    <row r="92" spans="1:17" x14ac:dyDescent="0.2">
      <c r="K92" s="37">
        <v>46063</v>
      </c>
    </row>
    <row r="97" spans="12:12" x14ac:dyDescent="0.2">
      <c r="L97" s="26">
        <f>E88*(J88/100)</f>
        <v>0</v>
      </c>
    </row>
  </sheetData>
  <sortState xmlns:xlrd2="http://schemas.microsoft.com/office/spreadsheetml/2017/richdata2" ref="B2:F90">
    <sortCondition descending="1" ref="F1:F90"/>
  </sortState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CDFB3-2719-42A3-8B82-094E1591C7E1}">
  <dimension ref="A1:F86"/>
  <sheetViews>
    <sheetView tabSelected="1" topLeftCell="A7" workbookViewId="0">
      <selection activeCell="H5" sqref="H5"/>
    </sheetView>
  </sheetViews>
  <sheetFormatPr defaultRowHeight="15" x14ac:dyDescent="0.25"/>
  <cols>
    <col min="2" max="2" width="10.140625" customWidth="1"/>
    <col min="3" max="3" width="17.85546875" customWidth="1"/>
    <col min="4" max="4" width="12.5703125" customWidth="1"/>
    <col min="5" max="5" width="16.42578125" customWidth="1"/>
    <col min="6" max="6" width="12.140625" customWidth="1"/>
  </cols>
  <sheetData>
    <row r="1" spans="1:6" x14ac:dyDescent="0.25">
      <c r="A1" t="s">
        <v>662</v>
      </c>
      <c r="B1" t="s">
        <v>622</v>
      </c>
      <c r="C1" t="s">
        <v>623</v>
      </c>
      <c r="D1" t="s">
        <v>663</v>
      </c>
      <c r="E1" t="s">
        <v>664</v>
      </c>
      <c r="F1" t="s">
        <v>625</v>
      </c>
    </row>
    <row r="2" spans="1:6" x14ac:dyDescent="0.25">
      <c r="A2">
        <v>1</v>
      </c>
      <c r="B2" t="s">
        <v>185</v>
      </c>
      <c r="C2" t="s">
        <v>186</v>
      </c>
      <c r="D2" t="s">
        <v>461</v>
      </c>
      <c r="E2">
        <v>3688870616</v>
      </c>
      <c r="F2">
        <v>11.422800000000001</v>
      </c>
    </row>
    <row r="3" spans="1:6" x14ac:dyDescent="0.25">
      <c r="A3">
        <v>2</v>
      </c>
      <c r="B3" t="s">
        <v>118</v>
      </c>
      <c r="C3" t="s">
        <v>119</v>
      </c>
      <c r="D3" t="s">
        <v>676</v>
      </c>
      <c r="E3">
        <v>5027870728</v>
      </c>
      <c r="F3">
        <v>8.4212000000000007</v>
      </c>
    </row>
    <row r="4" spans="1:6" x14ac:dyDescent="0.25">
      <c r="A4">
        <v>3</v>
      </c>
      <c r="B4" t="s">
        <v>149</v>
      </c>
      <c r="C4" t="s">
        <v>148</v>
      </c>
      <c r="D4" t="s">
        <v>631</v>
      </c>
      <c r="E4">
        <v>4410960450</v>
      </c>
      <c r="F4">
        <v>5.7952000000000004</v>
      </c>
    </row>
    <row r="5" spans="1:6" x14ac:dyDescent="0.25">
      <c r="A5">
        <v>4</v>
      </c>
      <c r="B5" t="s">
        <v>476</v>
      </c>
      <c r="C5" t="s">
        <v>477</v>
      </c>
      <c r="D5" t="s">
        <v>666</v>
      </c>
      <c r="E5">
        <v>1945846761</v>
      </c>
      <c r="F5">
        <v>4.1623000000000001</v>
      </c>
    </row>
    <row r="6" spans="1:6" x14ac:dyDescent="0.25">
      <c r="A6">
        <v>5</v>
      </c>
      <c r="B6" t="s">
        <v>147</v>
      </c>
      <c r="C6" t="s">
        <v>148</v>
      </c>
      <c r="D6" t="s">
        <v>630</v>
      </c>
      <c r="E6">
        <v>2943171983</v>
      </c>
      <c r="F6">
        <v>4.0670000000000002</v>
      </c>
    </row>
    <row r="7" spans="1:6" x14ac:dyDescent="0.25">
      <c r="A7">
        <v>6</v>
      </c>
      <c r="B7" t="s">
        <v>21</v>
      </c>
      <c r="C7" t="s">
        <v>19</v>
      </c>
      <c r="D7" t="s">
        <v>466</v>
      </c>
      <c r="E7">
        <v>5106488516</v>
      </c>
      <c r="F7">
        <v>3.9769999999999999</v>
      </c>
    </row>
    <row r="8" spans="1:6" x14ac:dyDescent="0.25">
      <c r="A8">
        <v>7</v>
      </c>
      <c r="B8" t="s">
        <v>167</v>
      </c>
      <c r="C8" t="s">
        <v>168</v>
      </c>
      <c r="D8" t="s">
        <v>682</v>
      </c>
      <c r="E8">
        <v>621445261</v>
      </c>
      <c r="F8">
        <v>3.5377999999999998</v>
      </c>
    </row>
    <row r="9" spans="1:6" x14ac:dyDescent="0.25">
      <c r="A9">
        <v>8</v>
      </c>
      <c r="B9" t="s">
        <v>31</v>
      </c>
      <c r="C9" t="s">
        <v>32</v>
      </c>
      <c r="D9" t="s">
        <v>669</v>
      </c>
      <c r="E9">
        <v>1404794900</v>
      </c>
      <c r="F9">
        <v>3.1366000000000001</v>
      </c>
    </row>
    <row r="10" spans="1:6" x14ac:dyDescent="0.25">
      <c r="A10">
        <v>9</v>
      </c>
      <c r="B10" t="s">
        <v>191</v>
      </c>
      <c r="C10" t="s">
        <v>192</v>
      </c>
      <c r="D10" t="s">
        <v>464</v>
      </c>
      <c r="E10">
        <v>1485954732</v>
      </c>
      <c r="F10">
        <v>3.0672999999999999</v>
      </c>
    </row>
    <row r="11" spans="1:6" x14ac:dyDescent="0.25">
      <c r="A11">
        <v>10</v>
      </c>
      <c r="B11" t="s">
        <v>14</v>
      </c>
      <c r="C11" t="s">
        <v>15</v>
      </c>
      <c r="D11" t="s">
        <v>650</v>
      </c>
      <c r="E11">
        <v>5196371458</v>
      </c>
      <c r="F11">
        <v>2.9855999999999998</v>
      </c>
    </row>
    <row r="12" spans="1:6" x14ac:dyDescent="0.25">
      <c r="A12">
        <v>11</v>
      </c>
      <c r="B12" t="s">
        <v>115</v>
      </c>
      <c r="C12" t="s">
        <v>116</v>
      </c>
      <c r="D12" t="s">
        <v>675</v>
      </c>
      <c r="E12">
        <v>5970522444</v>
      </c>
      <c r="F12">
        <v>2.9706000000000001</v>
      </c>
    </row>
    <row r="13" spans="1:6" x14ac:dyDescent="0.25">
      <c r="A13">
        <v>12</v>
      </c>
      <c r="B13" t="s">
        <v>499</v>
      </c>
      <c r="C13" t="s">
        <v>84</v>
      </c>
      <c r="D13" t="s">
        <v>461</v>
      </c>
      <c r="E13">
        <v>722766139</v>
      </c>
      <c r="F13">
        <v>2.7393000000000001</v>
      </c>
    </row>
    <row r="14" spans="1:6" x14ac:dyDescent="0.25">
      <c r="A14">
        <v>13</v>
      </c>
      <c r="B14" t="s">
        <v>16</v>
      </c>
      <c r="C14" t="s">
        <v>17</v>
      </c>
      <c r="D14" t="s">
        <v>461</v>
      </c>
      <c r="E14">
        <v>2842496541</v>
      </c>
      <c r="F14">
        <v>2.6364000000000001</v>
      </c>
    </row>
    <row r="15" spans="1:6" x14ac:dyDescent="0.25">
      <c r="A15">
        <v>14</v>
      </c>
      <c r="B15" t="s">
        <v>0</v>
      </c>
      <c r="C15" t="s">
        <v>1</v>
      </c>
      <c r="D15" t="s">
        <v>665</v>
      </c>
      <c r="E15">
        <v>4273841357</v>
      </c>
      <c r="F15">
        <v>2.4958</v>
      </c>
    </row>
    <row r="16" spans="1:6" x14ac:dyDescent="0.25">
      <c r="A16">
        <v>15</v>
      </c>
      <c r="B16" t="s">
        <v>91</v>
      </c>
      <c r="C16" t="s">
        <v>92</v>
      </c>
      <c r="D16" t="s">
        <v>650</v>
      </c>
      <c r="E16">
        <v>1250951305</v>
      </c>
      <c r="F16">
        <v>2.0497000000000001</v>
      </c>
    </row>
    <row r="17" spans="1:6" x14ac:dyDescent="0.25">
      <c r="A17">
        <v>16</v>
      </c>
      <c r="B17" t="s">
        <v>160</v>
      </c>
      <c r="C17" t="s">
        <v>161</v>
      </c>
      <c r="D17" t="s">
        <v>672</v>
      </c>
      <c r="E17">
        <v>1091469308</v>
      </c>
      <c r="F17">
        <v>1.8896999999999999</v>
      </c>
    </row>
    <row r="18" spans="1:6" x14ac:dyDescent="0.25">
      <c r="A18">
        <v>17</v>
      </c>
      <c r="B18" t="s">
        <v>162</v>
      </c>
      <c r="C18" t="s">
        <v>163</v>
      </c>
      <c r="D18" t="s">
        <v>682</v>
      </c>
      <c r="E18">
        <v>977042684</v>
      </c>
      <c r="F18">
        <v>1.8157000000000001</v>
      </c>
    </row>
    <row r="19" spans="1:6" x14ac:dyDescent="0.25">
      <c r="A19">
        <v>18</v>
      </c>
      <c r="B19" t="s">
        <v>87</v>
      </c>
      <c r="C19" t="s">
        <v>88</v>
      </c>
      <c r="D19" t="s">
        <v>461</v>
      </c>
      <c r="E19">
        <v>1912889086</v>
      </c>
      <c r="F19">
        <v>1.6383000000000001</v>
      </c>
    </row>
    <row r="20" spans="1:6" x14ac:dyDescent="0.25">
      <c r="A20">
        <v>19</v>
      </c>
      <c r="B20" t="s">
        <v>152</v>
      </c>
      <c r="C20" t="s">
        <v>153</v>
      </c>
      <c r="D20" t="s">
        <v>461</v>
      </c>
      <c r="E20">
        <v>762017253</v>
      </c>
      <c r="F20">
        <v>1.3613999999999999</v>
      </c>
    </row>
    <row r="21" spans="1:6" x14ac:dyDescent="0.25">
      <c r="A21">
        <v>20</v>
      </c>
      <c r="B21" t="s">
        <v>171</v>
      </c>
      <c r="C21" t="s">
        <v>172</v>
      </c>
      <c r="D21" t="s">
        <v>464</v>
      </c>
      <c r="E21">
        <v>612918471</v>
      </c>
      <c r="F21">
        <v>1.3601000000000001</v>
      </c>
    </row>
    <row r="22" spans="1:6" x14ac:dyDescent="0.25">
      <c r="A22">
        <v>21</v>
      </c>
      <c r="B22" t="s">
        <v>156</v>
      </c>
      <c r="C22" t="s">
        <v>157</v>
      </c>
      <c r="D22" t="s">
        <v>673</v>
      </c>
      <c r="E22">
        <v>1311428175</v>
      </c>
      <c r="F22">
        <v>1.3290999999999999</v>
      </c>
    </row>
    <row r="23" spans="1:6" x14ac:dyDescent="0.25">
      <c r="A23">
        <v>22</v>
      </c>
      <c r="B23" t="s">
        <v>218</v>
      </c>
      <c r="C23" t="s">
        <v>219</v>
      </c>
      <c r="D23" t="s">
        <v>461</v>
      </c>
      <c r="E23">
        <v>1192531648</v>
      </c>
      <c r="F23">
        <v>1.3142</v>
      </c>
    </row>
    <row r="24" spans="1:6" x14ac:dyDescent="0.25">
      <c r="A24">
        <v>23</v>
      </c>
      <c r="B24" t="s">
        <v>481</v>
      </c>
      <c r="C24" t="s">
        <v>477</v>
      </c>
      <c r="D24" t="s">
        <v>668</v>
      </c>
      <c r="E24">
        <v>582580795</v>
      </c>
      <c r="F24">
        <v>1.1962999999999999</v>
      </c>
    </row>
    <row r="25" spans="1:6" x14ac:dyDescent="0.25">
      <c r="A25">
        <v>24</v>
      </c>
      <c r="B25" t="s">
        <v>97</v>
      </c>
      <c r="C25" t="s">
        <v>98</v>
      </c>
      <c r="D25" t="s">
        <v>462</v>
      </c>
      <c r="E25">
        <v>1263524206</v>
      </c>
      <c r="F25">
        <v>1.1086</v>
      </c>
    </row>
    <row r="26" spans="1:6" x14ac:dyDescent="0.25">
      <c r="A26">
        <v>25</v>
      </c>
      <c r="B26" t="s">
        <v>189</v>
      </c>
      <c r="C26" t="s">
        <v>190</v>
      </c>
      <c r="D26" t="s">
        <v>621</v>
      </c>
      <c r="E26">
        <v>738065812</v>
      </c>
      <c r="F26">
        <v>1.0337000000000001</v>
      </c>
    </row>
    <row r="27" spans="1:6" x14ac:dyDescent="0.25">
      <c r="A27">
        <v>26</v>
      </c>
      <c r="B27" t="s">
        <v>18</v>
      </c>
      <c r="C27" t="s">
        <v>19</v>
      </c>
      <c r="D27" t="s">
        <v>618</v>
      </c>
      <c r="E27">
        <v>1467570789</v>
      </c>
      <c r="F27">
        <v>0.98099999999999998</v>
      </c>
    </row>
    <row r="28" spans="1:6" x14ac:dyDescent="0.25">
      <c r="A28">
        <v>27</v>
      </c>
      <c r="B28" t="s">
        <v>180</v>
      </c>
      <c r="C28" t="s">
        <v>181</v>
      </c>
      <c r="D28" t="s">
        <v>461</v>
      </c>
      <c r="E28">
        <v>1071443332</v>
      </c>
      <c r="F28">
        <v>0.96120000000000005</v>
      </c>
    </row>
    <row r="29" spans="1:6" x14ac:dyDescent="0.25">
      <c r="A29">
        <v>28</v>
      </c>
      <c r="B29" t="s">
        <v>23</v>
      </c>
      <c r="C29" t="s">
        <v>24</v>
      </c>
      <c r="D29" t="s">
        <v>461</v>
      </c>
      <c r="E29">
        <v>616186808</v>
      </c>
      <c r="F29">
        <v>0.94210000000000005</v>
      </c>
    </row>
    <row r="30" spans="1:6" x14ac:dyDescent="0.25">
      <c r="A30">
        <v>29</v>
      </c>
      <c r="B30" t="s">
        <v>178</v>
      </c>
      <c r="C30" t="s">
        <v>179</v>
      </c>
      <c r="D30" t="s">
        <v>461</v>
      </c>
      <c r="E30">
        <v>533980424</v>
      </c>
      <c r="F30">
        <v>0.93610000000000004</v>
      </c>
    </row>
    <row r="31" spans="1:6" x14ac:dyDescent="0.25">
      <c r="A31">
        <v>30</v>
      </c>
      <c r="B31" t="s">
        <v>52</v>
      </c>
      <c r="C31" t="s">
        <v>53</v>
      </c>
      <c r="D31" t="s">
        <v>670</v>
      </c>
      <c r="E31">
        <v>1904057894</v>
      </c>
      <c r="F31">
        <v>0.90900000000000003</v>
      </c>
    </row>
    <row r="32" spans="1:6" x14ac:dyDescent="0.25">
      <c r="A32">
        <v>31</v>
      </c>
      <c r="B32" t="s">
        <v>492</v>
      </c>
      <c r="C32" t="s">
        <v>61</v>
      </c>
      <c r="D32" t="s">
        <v>672</v>
      </c>
      <c r="E32">
        <v>1709534925</v>
      </c>
      <c r="F32">
        <v>0.88780000000000003</v>
      </c>
    </row>
    <row r="33" spans="1:6" x14ac:dyDescent="0.25">
      <c r="A33">
        <v>32</v>
      </c>
      <c r="B33" t="s">
        <v>158</v>
      </c>
      <c r="C33" t="s">
        <v>681</v>
      </c>
      <c r="D33" t="s">
        <v>461</v>
      </c>
      <c r="E33">
        <v>1221155293</v>
      </c>
      <c r="F33">
        <v>0.77049999999999996</v>
      </c>
    </row>
    <row r="34" spans="1:6" x14ac:dyDescent="0.25">
      <c r="A34">
        <v>33</v>
      </c>
      <c r="B34" t="s">
        <v>176</v>
      </c>
      <c r="C34" t="s">
        <v>177</v>
      </c>
      <c r="D34" t="s">
        <v>672</v>
      </c>
      <c r="E34">
        <v>804628136</v>
      </c>
      <c r="F34">
        <v>0.74490000000000001</v>
      </c>
    </row>
    <row r="35" spans="1:6" x14ac:dyDescent="0.25">
      <c r="A35">
        <v>34</v>
      </c>
      <c r="B35" t="s">
        <v>89</v>
      </c>
      <c r="C35" t="s">
        <v>90</v>
      </c>
      <c r="D35" t="s">
        <v>465</v>
      </c>
      <c r="E35">
        <v>358053350</v>
      </c>
      <c r="F35">
        <v>0.72130000000000005</v>
      </c>
    </row>
    <row r="36" spans="1:6" x14ac:dyDescent="0.25">
      <c r="A36">
        <v>35</v>
      </c>
      <c r="B36" t="s">
        <v>124</v>
      </c>
      <c r="C36" t="s">
        <v>125</v>
      </c>
      <c r="D36" t="s">
        <v>677</v>
      </c>
      <c r="E36">
        <v>792355216</v>
      </c>
      <c r="F36">
        <v>0.64710000000000001</v>
      </c>
    </row>
    <row r="37" spans="1:6" x14ac:dyDescent="0.25">
      <c r="A37">
        <v>36</v>
      </c>
      <c r="B37" t="s">
        <v>518</v>
      </c>
      <c r="C37" t="s">
        <v>137</v>
      </c>
      <c r="D37" t="s">
        <v>461</v>
      </c>
      <c r="E37">
        <v>767248368</v>
      </c>
      <c r="F37">
        <v>0.64459999999999995</v>
      </c>
    </row>
    <row r="38" spans="1:6" x14ac:dyDescent="0.25">
      <c r="A38">
        <v>37</v>
      </c>
      <c r="B38" t="s">
        <v>271</v>
      </c>
      <c r="C38" t="s">
        <v>272</v>
      </c>
      <c r="D38" t="s">
        <v>461</v>
      </c>
      <c r="E38">
        <v>1002196725</v>
      </c>
      <c r="F38">
        <v>0.64090000000000003</v>
      </c>
    </row>
    <row r="39" spans="1:6" x14ac:dyDescent="0.25">
      <c r="A39">
        <v>38</v>
      </c>
      <c r="B39" t="s">
        <v>479</v>
      </c>
      <c r="C39" t="s">
        <v>477</v>
      </c>
      <c r="D39" t="s">
        <v>667</v>
      </c>
      <c r="E39">
        <v>270655585</v>
      </c>
      <c r="F39">
        <v>0.60760000000000003</v>
      </c>
    </row>
    <row r="40" spans="1:6" x14ac:dyDescent="0.25">
      <c r="A40">
        <v>39</v>
      </c>
      <c r="B40" t="s">
        <v>221</v>
      </c>
      <c r="C40" t="s">
        <v>222</v>
      </c>
      <c r="D40" t="s">
        <v>464</v>
      </c>
      <c r="E40">
        <v>466135796</v>
      </c>
      <c r="F40">
        <v>0.56930000000000003</v>
      </c>
    </row>
    <row r="41" spans="1:6" x14ac:dyDescent="0.25">
      <c r="A41">
        <v>40</v>
      </c>
      <c r="B41" t="s">
        <v>130</v>
      </c>
      <c r="C41" t="s">
        <v>131</v>
      </c>
      <c r="D41" t="s">
        <v>461</v>
      </c>
      <c r="E41">
        <v>981927306</v>
      </c>
      <c r="F41">
        <v>0.56200000000000006</v>
      </c>
    </row>
    <row r="42" spans="1:6" x14ac:dyDescent="0.25">
      <c r="A42">
        <v>41</v>
      </c>
      <c r="B42" t="s">
        <v>164</v>
      </c>
      <c r="C42" t="s">
        <v>165</v>
      </c>
      <c r="D42" t="s">
        <v>166</v>
      </c>
      <c r="E42">
        <v>360347199</v>
      </c>
      <c r="F42">
        <v>0.51780000000000004</v>
      </c>
    </row>
    <row r="43" spans="1:6" x14ac:dyDescent="0.25">
      <c r="A43">
        <v>42</v>
      </c>
      <c r="B43" t="s">
        <v>77</v>
      </c>
      <c r="C43" t="s">
        <v>78</v>
      </c>
      <c r="D43" t="s">
        <v>650</v>
      </c>
      <c r="E43">
        <v>357310487</v>
      </c>
      <c r="F43">
        <v>0.4758</v>
      </c>
    </row>
    <row r="44" spans="1:6" x14ac:dyDescent="0.25">
      <c r="A44">
        <v>43</v>
      </c>
      <c r="B44" t="s">
        <v>288</v>
      </c>
      <c r="C44" t="s">
        <v>289</v>
      </c>
      <c r="D44" t="s">
        <v>461</v>
      </c>
      <c r="E44">
        <v>467471342</v>
      </c>
      <c r="F44">
        <v>0.45950000000000002</v>
      </c>
    </row>
    <row r="45" spans="1:6" x14ac:dyDescent="0.25">
      <c r="A45">
        <v>44</v>
      </c>
      <c r="B45" t="s">
        <v>263</v>
      </c>
      <c r="C45" t="s">
        <v>264</v>
      </c>
      <c r="D45" t="s">
        <v>466</v>
      </c>
      <c r="E45">
        <v>395801044</v>
      </c>
      <c r="F45">
        <v>0.45550000000000002</v>
      </c>
    </row>
    <row r="46" spans="1:6" x14ac:dyDescent="0.25">
      <c r="A46">
        <v>45</v>
      </c>
      <c r="B46" t="s">
        <v>56</v>
      </c>
      <c r="C46" t="s">
        <v>57</v>
      </c>
      <c r="D46" t="s">
        <v>461</v>
      </c>
      <c r="E46">
        <v>187732538</v>
      </c>
      <c r="F46">
        <v>0.43169999999999997</v>
      </c>
    </row>
    <row r="47" spans="1:6" x14ac:dyDescent="0.25">
      <c r="A47">
        <v>46</v>
      </c>
      <c r="B47" t="s">
        <v>9</v>
      </c>
      <c r="C47" t="s">
        <v>10</v>
      </c>
      <c r="D47" t="s">
        <v>461</v>
      </c>
      <c r="E47">
        <v>1338601375</v>
      </c>
      <c r="F47">
        <v>0.41689999999999999</v>
      </c>
    </row>
    <row r="48" spans="1:6" x14ac:dyDescent="0.25">
      <c r="A48">
        <v>47</v>
      </c>
      <c r="B48" t="s">
        <v>245</v>
      </c>
      <c r="C48" t="s">
        <v>246</v>
      </c>
      <c r="D48" t="s">
        <v>461</v>
      </c>
      <c r="E48">
        <v>600000000</v>
      </c>
      <c r="F48">
        <v>0.41549999999999998</v>
      </c>
    </row>
    <row r="49" spans="1:6" x14ac:dyDescent="0.25">
      <c r="A49">
        <v>48</v>
      </c>
      <c r="B49" t="s">
        <v>65</v>
      </c>
      <c r="C49" t="s">
        <v>66</v>
      </c>
      <c r="D49" t="s">
        <v>461</v>
      </c>
      <c r="E49">
        <v>1802521475</v>
      </c>
      <c r="F49">
        <v>0.40479999999999999</v>
      </c>
    </row>
    <row r="50" spans="1:6" x14ac:dyDescent="0.25">
      <c r="A50">
        <v>49</v>
      </c>
      <c r="B50" t="s">
        <v>173</v>
      </c>
      <c r="C50" t="s">
        <v>174</v>
      </c>
      <c r="D50" t="s">
        <v>465</v>
      </c>
      <c r="E50">
        <v>218568234</v>
      </c>
      <c r="F50">
        <v>0.39240000000000003</v>
      </c>
    </row>
    <row r="51" spans="1:6" x14ac:dyDescent="0.25">
      <c r="A51">
        <v>50</v>
      </c>
      <c r="B51" t="s">
        <v>279</v>
      </c>
      <c r="C51" t="s">
        <v>280</v>
      </c>
      <c r="D51" t="s">
        <v>650</v>
      </c>
      <c r="E51">
        <v>181016454</v>
      </c>
      <c r="F51">
        <v>0.37269999999999998</v>
      </c>
    </row>
    <row r="52" spans="1:6" x14ac:dyDescent="0.25">
      <c r="A52">
        <v>51</v>
      </c>
      <c r="B52" t="s">
        <v>140</v>
      </c>
      <c r="C52" t="s">
        <v>141</v>
      </c>
      <c r="D52" t="s">
        <v>678</v>
      </c>
      <c r="E52">
        <v>320022221</v>
      </c>
      <c r="F52">
        <v>0.37019999999999997</v>
      </c>
    </row>
    <row r="53" spans="1:6" x14ac:dyDescent="0.25">
      <c r="A53">
        <v>52</v>
      </c>
      <c r="B53" t="s">
        <v>199</v>
      </c>
      <c r="C53" t="s">
        <v>200</v>
      </c>
      <c r="D53" t="s">
        <v>469</v>
      </c>
      <c r="E53">
        <v>1646519336</v>
      </c>
      <c r="F53">
        <v>0.36820000000000003</v>
      </c>
    </row>
    <row r="54" spans="1:6" x14ac:dyDescent="0.25">
      <c r="A54">
        <v>53</v>
      </c>
      <c r="B54" t="s">
        <v>489</v>
      </c>
      <c r="C54" t="s">
        <v>490</v>
      </c>
      <c r="D54" t="s">
        <v>650</v>
      </c>
      <c r="E54">
        <v>188467895</v>
      </c>
      <c r="F54">
        <v>0.35049999999999998</v>
      </c>
    </row>
    <row r="55" spans="1:6" x14ac:dyDescent="0.25">
      <c r="A55">
        <v>54</v>
      </c>
      <c r="B55" t="s">
        <v>242</v>
      </c>
      <c r="C55" t="s">
        <v>243</v>
      </c>
      <c r="D55" t="s">
        <v>461</v>
      </c>
      <c r="E55">
        <v>462883017</v>
      </c>
      <c r="F55">
        <v>0.3301</v>
      </c>
    </row>
    <row r="56" spans="1:6" x14ac:dyDescent="0.25">
      <c r="A56">
        <v>55</v>
      </c>
      <c r="B56" t="s">
        <v>101</v>
      </c>
      <c r="C56" t="s">
        <v>102</v>
      </c>
      <c r="D56" t="s">
        <v>675</v>
      </c>
      <c r="E56">
        <v>830615826</v>
      </c>
      <c r="F56">
        <v>0.31659999999999999</v>
      </c>
    </row>
    <row r="57" spans="1:6" x14ac:dyDescent="0.25">
      <c r="A57">
        <v>56</v>
      </c>
      <c r="B57" t="s">
        <v>109</v>
      </c>
      <c r="C57" t="s">
        <v>110</v>
      </c>
      <c r="D57" t="s">
        <v>650</v>
      </c>
      <c r="E57">
        <v>296007718</v>
      </c>
      <c r="F57">
        <v>0.2954</v>
      </c>
    </row>
    <row r="58" spans="1:6" x14ac:dyDescent="0.25">
      <c r="A58">
        <v>57</v>
      </c>
      <c r="B58" t="s">
        <v>95</v>
      </c>
      <c r="C58" t="s">
        <v>96</v>
      </c>
      <c r="D58" t="s">
        <v>461</v>
      </c>
      <c r="E58">
        <v>447150822</v>
      </c>
      <c r="F58">
        <v>0.28360000000000002</v>
      </c>
    </row>
    <row r="59" spans="1:6" x14ac:dyDescent="0.25">
      <c r="A59">
        <v>58</v>
      </c>
      <c r="B59" t="s">
        <v>67</v>
      </c>
      <c r="C59" t="s">
        <v>68</v>
      </c>
      <c r="D59" t="s">
        <v>2</v>
      </c>
      <c r="E59">
        <v>727975012</v>
      </c>
      <c r="F59">
        <v>0.27089999999999997</v>
      </c>
    </row>
    <row r="60" spans="1:6" x14ac:dyDescent="0.25">
      <c r="A60">
        <v>59</v>
      </c>
      <c r="B60" t="s">
        <v>71</v>
      </c>
      <c r="C60" t="s">
        <v>72</v>
      </c>
      <c r="D60" t="s">
        <v>673</v>
      </c>
      <c r="E60">
        <v>256055995</v>
      </c>
      <c r="F60">
        <v>0.26240000000000002</v>
      </c>
    </row>
    <row r="61" spans="1:6" x14ac:dyDescent="0.25">
      <c r="A61">
        <v>60</v>
      </c>
      <c r="B61" t="s">
        <v>273</v>
      </c>
      <c r="C61" t="s">
        <v>274</v>
      </c>
      <c r="D61" t="s">
        <v>461</v>
      </c>
      <c r="E61">
        <v>838359453</v>
      </c>
      <c r="F61">
        <v>0.25819999999999999</v>
      </c>
    </row>
    <row r="62" spans="1:6" x14ac:dyDescent="0.25">
      <c r="A62">
        <v>61</v>
      </c>
      <c r="B62" t="s">
        <v>54</v>
      </c>
      <c r="C62" t="s">
        <v>55</v>
      </c>
      <c r="D62" t="s">
        <v>671</v>
      </c>
      <c r="E62">
        <v>1914692857</v>
      </c>
      <c r="F62">
        <v>0.25629999999999997</v>
      </c>
    </row>
    <row r="63" spans="1:6" x14ac:dyDescent="0.25">
      <c r="A63">
        <v>62</v>
      </c>
      <c r="B63" t="s">
        <v>201</v>
      </c>
      <c r="C63" t="s">
        <v>202</v>
      </c>
      <c r="D63" t="s">
        <v>620</v>
      </c>
      <c r="E63">
        <v>211401696</v>
      </c>
      <c r="F63">
        <v>0.22889999999999999</v>
      </c>
    </row>
    <row r="64" spans="1:6" x14ac:dyDescent="0.25">
      <c r="A64">
        <v>63</v>
      </c>
      <c r="B64" t="s">
        <v>252</v>
      </c>
      <c r="C64" t="s">
        <v>253</v>
      </c>
      <c r="D64" t="s">
        <v>461</v>
      </c>
      <c r="E64">
        <v>160988231</v>
      </c>
      <c r="F64">
        <v>0.217</v>
      </c>
    </row>
    <row r="65" spans="1:6" x14ac:dyDescent="0.25">
      <c r="A65">
        <v>64</v>
      </c>
      <c r="B65" t="s">
        <v>35</v>
      </c>
      <c r="C65" t="s">
        <v>36</v>
      </c>
      <c r="D65" t="s">
        <v>670</v>
      </c>
      <c r="E65">
        <v>250914708</v>
      </c>
      <c r="F65">
        <v>0.2155</v>
      </c>
    </row>
    <row r="66" spans="1:6" x14ac:dyDescent="0.25">
      <c r="A66">
        <v>65</v>
      </c>
      <c r="B66" t="s">
        <v>255</v>
      </c>
      <c r="C66" t="s">
        <v>256</v>
      </c>
      <c r="D66" t="s">
        <v>461</v>
      </c>
      <c r="E66">
        <v>325640184</v>
      </c>
      <c r="F66">
        <v>0.1898</v>
      </c>
    </row>
    <row r="67" spans="1:6" x14ac:dyDescent="0.25">
      <c r="A67">
        <v>66</v>
      </c>
      <c r="B67" t="s">
        <v>113</v>
      </c>
      <c r="C67" t="s">
        <v>114</v>
      </c>
      <c r="D67" t="s">
        <v>461</v>
      </c>
      <c r="E67">
        <v>81838787</v>
      </c>
      <c r="F67">
        <v>0.18329999999999999</v>
      </c>
    </row>
    <row r="68" spans="1:6" x14ac:dyDescent="0.25">
      <c r="A68">
        <v>67</v>
      </c>
      <c r="B68" t="s">
        <v>268</v>
      </c>
      <c r="C68" t="s">
        <v>269</v>
      </c>
      <c r="D68" t="s">
        <v>680</v>
      </c>
      <c r="E68">
        <v>727730867</v>
      </c>
      <c r="F68">
        <v>0.183</v>
      </c>
    </row>
    <row r="69" spans="1:6" x14ac:dyDescent="0.25">
      <c r="A69">
        <v>68</v>
      </c>
      <c r="B69" t="s">
        <v>105</v>
      </c>
      <c r="C69" t="s">
        <v>106</v>
      </c>
      <c r="D69" t="s">
        <v>461</v>
      </c>
      <c r="E69">
        <v>287507905</v>
      </c>
      <c r="F69">
        <v>0.17899999999999999</v>
      </c>
    </row>
    <row r="70" spans="1:6" x14ac:dyDescent="0.25">
      <c r="A70">
        <v>69</v>
      </c>
      <c r="B70" t="s">
        <v>228</v>
      </c>
      <c r="C70" t="s">
        <v>229</v>
      </c>
      <c r="D70" t="s">
        <v>464</v>
      </c>
      <c r="E70">
        <v>123177361</v>
      </c>
      <c r="F70">
        <v>0.17</v>
      </c>
    </row>
    <row r="71" spans="1:6" x14ac:dyDescent="0.25">
      <c r="A71">
        <v>70</v>
      </c>
      <c r="B71" t="s">
        <v>231</v>
      </c>
      <c r="C71" t="s">
        <v>232</v>
      </c>
      <c r="D71" t="s">
        <v>461</v>
      </c>
      <c r="E71">
        <v>318338365</v>
      </c>
      <c r="F71">
        <v>0.1583</v>
      </c>
    </row>
    <row r="72" spans="1:6" x14ac:dyDescent="0.25">
      <c r="A72">
        <v>71</v>
      </c>
      <c r="B72" t="s">
        <v>234</v>
      </c>
      <c r="C72" t="s">
        <v>235</v>
      </c>
      <c r="D72" t="s">
        <v>464</v>
      </c>
      <c r="E72">
        <v>132447688</v>
      </c>
      <c r="F72">
        <v>0.14380000000000001</v>
      </c>
    </row>
    <row r="73" spans="1:6" x14ac:dyDescent="0.25">
      <c r="A73">
        <v>72</v>
      </c>
      <c r="B73" t="s">
        <v>134</v>
      </c>
      <c r="C73" t="s">
        <v>135</v>
      </c>
      <c r="D73" t="s">
        <v>673</v>
      </c>
      <c r="E73">
        <v>373185407</v>
      </c>
      <c r="F73">
        <v>0.1409</v>
      </c>
    </row>
    <row r="74" spans="1:6" x14ac:dyDescent="0.25">
      <c r="A74">
        <v>73</v>
      </c>
      <c r="B74" t="s">
        <v>210</v>
      </c>
      <c r="C74" t="s">
        <v>211</v>
      </c>
      <c r="D74" t="s">
        <v>673</v>
      </c>
      <c r="E74">
        <v>222404640</v>
      </c>
      <c r="F74">
        <v>0.14069999999999999</v>
      </c>
    </row>
    <row r="75" spans="1:6" x14ac:dyDescent="0.25">
      <c r="A75">
        <v>74</v>
      </c>
      <c r="B75" t="s">
        <v>193</v>
      </c>
      <c r="C75" t="s">
        <v>194</v>
      </c>
      <c r="D75" t="s">
        <v>464</v>
      </c>
      <c r="E75">
        <v>261365845</v>
      </c>
      <c r="F75">
        <v>0.1363</v>
      </c>
    </row>
    <row r="76" spans="1:6" x14ac:dyDescent="0.25">
      <c r="A76">
        <v>75</v>
      </c>
      <c r="B76" t="s">
        <v>182</v>
      </c>
      <c r="C76" t="s">
        <v>183</v>
      </c>
      <c r="D76" t="s">
        <v>467</v>
      </c>
      <c r="E76">
        <v>515117999</v>
      </c>
      <c r="F76">
        <v>0.13170000000000001</v>
      </c>
    </row>
    <row r="77" spans="1:6" x14ac:dyDescent="0.25">
      <c r="A77">
        <v>76</v>
      </c>
      <c r="B77" t="s">
        <v>206</v>
      </c>
      <c r="C77" t="s">
        <v>207</v>
      </c>
      <c r="D77" t="s">
        <v>461</v>
      </c>
      <c r="E77">
        <v>274630892</v>
      </c>
      <c r="F77">
        <v>0.1293</v>
      </c>
    </row>
    <row r="78" spans="1:6" x14ac:dyDescent="0.25">
      <c r="A78">
        <v>77</v>
      </c>
      <c r="B78" t="s">
        <v>138</v>
      </c>
      <c r="C78" t="s">
        <v>139</v>
      </c>
      <c r="D78" t="s">
        <v>461</v>
      </c>
      <c r="E78">
        <v>374670758</v>
      </c>
      <c r="F78">
        <v>0.1237</v>
      </c>
    </row>
    <row r="79" spans="1:6" x14ac:dyDescent="0.25">
      <c r="A79">
        <v>78</v>
      </c>
      <c r="B79" t="s">
        <v>248</v>
      </c>
      <c r="C79" t="s">
        <v>249</v>
      </c>
      <c r="D79" t="s">
        <v>650</v>
      </c>
      <c r="E79">
        <v>204964309</v>
      </c>
      <c r="F79">
        <v>0.10879999999999999</v>
      </c>
    </row>
    <row r="80" spans="1:6" x14ac:dyDescent="0.25">
      <c r="A80">
        <v>79</v>
      </c>
      <c r="B80" t="s">
        <v>25</v>
      </c>
      <c r="C80" t="s">
        <v>26</v>
      </c>
      <c r="D80" t="s">
        <v>461</v>
      </c>
      <c r="E80">
        <v>439073587</v>
      </c>
      <c r="F80">
        <v>0.1008</v>
      </c>
    </row>
    <row r="81" spans="1:6" x14ac:dyDescent="0.25">
      <c r="A81">
        <v>80</v>
      </c>
      <c r="B81" t="s">
        <v>41</v>
      </c>
      <c r="C81" t="s">
        <v>42</v>
      </c>
      <c r="D81" t="s">
        <v>467</v>
      </c>
      <c r="E81">
        <v>265876767</v>
      </c>
      <c r="F81">
        <v>8.8099999999999998E-2</v>
      </c>
    </row>
    <row r="82" spans="1:6" x14ac:dyDescent="0.25">
      <c r="A82">
        <v>81</v>
      </c>
      <c r="B82" t="s">
        <v>145</v>
      </c>
      <c r="C82" t="s">
        <v>679</v>
      </c>
      <c r="D82" t="s">
        <v>461</v>
      </c>
      <c r="E82">
        <v>433412603</v>
      </c>
      <c r="F82">
        <v>7.3400000000000007E-2</v>
      </c>
    </row>
    <row r="83" spans="1:6" x14ac:dyDescent="0.25">
      <c r="A83">
        <v>82</v>
      </c>
      <c r="B83" t="s">
        <v>513</v>
      </c>
      <c r="C83" t="s">
        <v>163</v>
      </c>
      <c r="D83" t="s">
        <v>674</v>
      </c>
      <c r="E83">
        <v>37577993</v>
      </c>
      <c r="F83">
        <v>6.5199999999999994E-2</v>
      </c>
    </row>
    <row r="84" spans="1:6" x14ac:dyDescent="0.25">
      <c r="A84">
        <v>83</v>
      </c>
      <c r="B84" t="s">
        <v>216</v>
      </c>
      <c r="C84" t="s">
        <v>217</v>
      </c>
      <c r="D84" t="s">
        <v>650</v>
      </c>
      <c r="E84">
        <v>390902974</v>
      </c>
      <c r="F84">
        <v>5.4300000000000001E-2</v>
      </c>
    </row>
    <row r="85" spans="1:6" x14ac:dyDescent="0.25">
      <c r="A85">
        <v>84</v>
      </c>
      <c r="B85" t="s">
        <v>496</v>
      </c>
      <c r="C85" t="s">
        <v>72</v>
      </c>
      <c r="D85" t="s">
        <v>674</v>
      </c>
      <c r="E85">
        <v>48543949</v>
      </c>
      <c r="F85">
        <v>5.04E-2</v>
      </c>
    </row>
    <row r="86" spans="1:6" x14ac:dyDescent="0.25">
      <c r="A86">
        <v>85</v>
      </c>
      <c r="B86" t="s">
        <v>204</v>
      </c>
      <c r="C86" t="s">
        <v>205</v>
      </c>
      <c r="D86" t="s">
        <v>463</v>
      </c>
      <c r="E86">
        <v>1198936529</v>
      </c>
      <c r="F86">
        <v>4.1000000000000002E-2</v>
      </c>
    </row>
  </sheetData>
  <sortState xmlns:xlrd2="http://schemas.microsoft.com/office/spreadsheetml/2017/richdata2" ref="A2:F86">
    <sortCondition descending="1" ref="F1:F86"/>
  </sortState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43A03-179A-4F43-9351-069F7601E6C9}">
  <dimension ref="A1:E85"/>
  <sheetViews>
    <sheetView workbookViewId="0">
      <selection activeCell="E1" sqref="E1:E85"/>
    </sheetView>
  </sheetViews>
  <sheetFormatPr defaultRowHeight="15" x14ac:dyDescent="0.25"/>
  <cols>
    <col min="1" max="1" width="12.42578125" customWidth="1"/>
    <col min="2" max="2" width="18.28515625" customWidth="1"/>
    <col min="3" max="3" width="15" customWidth="1"/>
    <col min="4" max="4" width="18" customWidth="1"/>
    <col min="5" max="5" width="13.42578125" customWidth="1"/>
    <col min="9" max="13" width="19" customWidth="1"/>
  </cols>
  <sheetData>
    <row r="1" spans="1:5" x14ac:dyDescent="0.25">
      <c r="A1" t="s">
        <v>0</v>
      </c>
      <c r="B1" t="s">
        <v>1</v>
      </c>
      <c r="C1" t="s">
        <v>542</v>
      </c>
      <c r="D1" t="s">
        <v>230</v>
      </c>
      <c r="E1" s="33">
        <v>2.496</v>
      </c>
    </row>
    <row r="2" spans="1:5" x14ac:dyDescent="0.25">
      <c r="A2" t="s">
        <v>221</v>
      </c>
      <c r="B2" t="s">
        <v>222</v>
      </c>
      <c r="C2" t="s">
        <v>58</v>
      </c>
      <c r="D2" t="s">
        <v>474</v>
      </c>
      <c r="E2" s="33">
        <v>0.56899999999999995</v>
      </c>
    </row>
    <row r="3" spans="1:5" x14ac:dyDescent="0.25">
      <c r="A3" t="s">
        <v>9</v>
      </c>
      <c r="B3" t="s">
        <v>10</v>
      </c>
      <c r="C3" t="s">
        <v>8</v>
      </c>
      <c r="D3" t="s">
        <v>475</v>
      </c>
      <c r="E3" s="33">
        <v>0.41699999999999998</v>
      </c>
    </row>
    <row r="4" spans="1:5" x14ac:dyDescent="0.25">
      <c r="A4" t="s">
        <v>231</v>
      </c>
      <c r="B4" t="s">
        <v>232</v>
      </c>
      <c r="C4" t="s">
        <v>8</v>
      </c>
      <c r="D4" t="s">
        <v>233</v>
      </c>
      <c r="E4" s="33">
        <v>0.158</v>
      </c>
    </row>
    <row r="5" spans="1:5" x14ac:dyDescent="0.25">
      <c r="A5" t="s">
        <v>476</v>
      </c>
      <c r="B5" t="s">
        <v>477</v>
      </c>
      <c r="C5" t="s">
        <v>543</v>
      </c>
      <c r="D5" t="s">
        <v>478</v>
      </c>
      <c r="E5" s="33">
        <v>4.1619999999999999</v>
      </c>
    </row>
    <row r="6" spans="1:5" x14ac:dyDescent="0.25">
      <c r="A6" t="s">
        <v>479</v>
      </c>
      <c r="B6" t="s">
        <v>477</v>
      </c>
      <c r="C6" t="s">
        <v>544</v>
      </c>
      <c r="D6" t="s">
        <v>480</v>
      </c>
      <c r="E6" s="33">
        <v>0.60799999999999998</v>
      </c>
    </row>
    <row r="7" spans="1:5" x14ac:dyDescent="0.25">
      <c r="A7" t="s">
        <v>481</v>
      </c>
      <c r="B7" t="s">
        <v>477</v>
      </c>
      <c r="C7" t="s">
        <v>482</v>
      </c>
      <c r="D7" t="s">
        <v>483</v>
      </c>
      <c r="E7" s="33">
        <v>1.196</v>
      </c>
    </row>
    <row r="8" spans="1:5" x14ac:dyDescent="0.25">
      <c r="A8" t="s">
        <v>234</v>
      </c>
      <c r="B8" t="s">
        <v>235</v>
      </c>
      <c r="C8" t="s">
        <v>58</v>
      </c>
      <c r="D8" t="s">
        <v>484</v>
      </c>
      <c r="E8" s="33">
        <v>0.14399999999999999</v>
      </c>
    </row>
    <row r="9" spans="1:5" x14ac:dyDescent="0.25">
      <c r="A9" t="s">
        <v>14</v>
      </c>
      <c r="B9" t="s">
        <v>15</v>
      </c>
      <c r="C9" t="s">
        <v>223</v>
      </c>
      <c r="D9" t="s">
        <v>236</v>
      </c>
      <c r="E9" s="33">
        <v>2.9860000000000002</v>
      </c>
    </row>
    <row r="10" spans="1:5" x14ac:dyDescent="0.25">
      <c r="A10" t="s">
        <v>16</v>
      </c>
      <c r="B10" t="s">
        <v>17</v>
      </c>
      <c r="C10" t="s">
        <v>8</v>
      </c>
      <c r="D10" t="s">
        <v>240</v>
      </c>
      <c r="E10" s="33">
        <v>2.6360000000000001</v>
      </c>
    </row>
    <row r="11" spans="1:5" x14ac:dyDescent="0.25">
      <c r="A11" t="s">
        <v>18</v>
      </c>
      <c r="B11" t="s">
        <v>19</v>
      </c>
      <c r="C11" t="s">
        <v>20</v>
      </c>
      <c r="D11" t="s">
        <v>238</v>
      </c>
      <c r="E11" s="33">
        <v>0.98099999999999998</v>
      </c>
    </row>
    <row r="12" spans="1:5" x14ac:dyDescent="0.25">
      <c r="A12" t="s">
        <v>21</v>
      </c>
      <c r="B12" t="s">
        <v>19</v>
      </c>
      <c r="C12" t="s">
        <v>22</v>
      </c>
      <c r="D12" t="s">
        <v>239</v>
      </c>
      <c r="E12" s="33">
        <v>3.9769999999999999</v>
      </c>
    </row>
    <row r="13" spans="1:5" x14ac:dyDescent="0.25">
      <c r="A13" t="s">
        <v>23</v>
      </c>
      <c r="B13" t="s">
        <v>24</v>
      </c>
      <c r="C13" t="s">
        <v>8</v>
      </c>
      <c r="D13" t="s">
        <v>237</v>
      </c>
      <c r="E13" s="33">
        <v>0.94199999999999995</v>
      </c>
    </row>
    <row r="14" spans="1:5" x14ac:dyDescent="0.25">
      <c r="A14" t="s">
        <v>25</v>
      </c>
      <c r="B14" t="s">
        <v>26</v>
      </c>
      <c r="C14" t="s">
        <v>8</v>
      </c>
      <c r="D14" t="s">
        <v>520</v>
      </c>
      <c r="E14" s="33">
        <v>0.10100000000000001</v>
      </c>
    </row>
    <row r="15" spans="1:5" x14ac:dyDescent="0.25">
      <c r="A15" t="s">
        <v>31</v>
      </c>
      <c r="B15" t="s">
        <v>32</v>
      </c>
      <c r="C15" t="s">
        <v>545</v>
      </c>
      <c r="D15" t="s">
        <v>244</v>
      </c>
      <c r="E15" s="33">
        <v>3.137</v>
      </c>
    </row>
    <row r="16" spans="1:5" x14ac:dyDescent="0.25">
      <c r="A16" t="s">
        <v>35</v>
      </c>
      <c r="B16" t="s">
        <v>36</v>
      </c>
      <c r="C16" t="s">
        <v>546</v>
      </c>
      <c r="D16" t="s">
        <v>485</v>
      </c>
      <c r="E16" s="33">
        <v>0.216</v>
      </c>
    </row>
    <row r="17" spans="1:5" x14ac:dyDescent="0.25">
      <c r="A17" t="s">
        <v>242</v>
      </c>
      <c r="B17" t="s">
        <v>243</v>
      </c>
      <c r="C17" t="s">
        <v>8</v>
      </c>
      <c r="D17" t="s">
        <v>486</v>
      </c>
      <c r="E17" s="33">
        <v>0.33</v>
      </c>
    </row>
    <row r="18" spans="1:5" x14ac:dyDescent="0.25">
      <c r="A18" t="s">
        <v>41</v>
      </c>
      <c r="B18" t="s">
        <v>42</v>
      </c>
      <c r="C18" t="s">
        <v>43</v>
      </c>
      <c r="D18" t="s">
        <v>241</v>
      </c>
      <c r="E18" s="33">
        <v>8.7999999999999995E-2</v>
      </c>
    </row>
    <row r="19" spans="1:5" x14ac:dyDescent="0.25">
      <c r="A19" t="s">
        <v>248</v>
      </c>
      <c r="B19" t="s">
        <v>249</v>
      </c>
      <c r="C19" t="s">
        <v>223</v>
      </c>
      <c r="D19" t="s">
        <v>487</v>
      </c>
      <c r="E19" s="33">
        <v>0.109</v>
      </c>
    </row>
    <row r="20" spans="1:5" x14ac:dyDescent="0.25">
      <c r="A20" t="s">
        <v>52</v>
      </c>
      <c r="B20" t="s">
        <v>53</v>
      </c>
      <c r="C20" t="s">
        <v>546</v>
      </c>
      <c r="D20" t="s">
        <v>250</v>
      </c>
      <c r="E20" s="33">
        <v>0.90900000000000003</v>
      </c>
    </row>
    <row r="21" spans="1:5" x14ac:dyDescent="0.25">
      <c r="A21" t="s">
        <v>199</v>
      </c>
      <c r="B21" t="s">
        <v>200</v>
      </c>
      <c r="C21" t="s">
        <v>142</v>
      </c>
      <c r="D21" t="s">
        <v>251</v>
      </c>
      <c r="E21" s="33">
        <v>0.36799999999999999</v>
      </c>
    </row>
    <row r="22" spans="1:5" x14ac:dyDescent="0.25">
      <c r="A22" t="s">
        <v>54</v>
      </c>
      <c r="B22" t="s">
        <v>55</v>
      </c>
      <c r="C22" t="s">
        <v>547</v>
      </c>
      <c r="D22" t="s">
        <v>488</v>
      </c>
      <c r="E22" s="33">
        <v>0.25600000000000001</v>
      </c>
    </row>
    <row r="23" spans="1:5" x14ac:dyDescent="0.25">
      <c r="A23" t="s">
        <v>56</v>
      </c>
      <c r="B23" t="s">
        <v>57</v>
      </c>
      <c r="C23" t="s">
        <v>8</v>
      </c>
      <c r="D23" t="s">
        <v>59</v>
      </c>
      <c r="E23" s="33">
        <v>0.432</v>
      </c>
    </row>
    <row r="24" spans="1:5" x14ac:dyDescent="0.25">
      <c r="A24" t="s">
        <v>492</v>
      </c>
      <c r="B24" t="s">
        <v>61</v>
      </c>
      <c r="C24" t="s">
        <v>548</v>
      </c>
      <c r="D24" t="s">
        <v>493</v>
      </c>
      <c r="E24" s="33">
        <v>0.88800000000000001</v>
      </c>
    </row>
    <row r="25" spans="1:5" x14ac:dyDescent="0.25">
      <c r="A25" t="s">
        <v>65</v>
      </c>
      <c r="B25" t="s">
        <v>66</v>
      </c>
      <c r="C25" t="s">
        <v>8</v>
      </c>
      <c r="D25" t="s">
        <v>494</v>
      </c>
      <c r="E25" s="33">
        <v>0.40500000000000003</v>
      </c>
    </row>
    <row r="26" spans="1:5" x14ac:dyDescent="0.25">
      <c r="A26" t="s">
        <v>489</v>
      </c>
      <c r="B26" t="s">
        <v>490</v>
      </c>
      <c r="C26" t="s">
        <v>223</v>
      </c>
      <c r="D26" t="s">
        <v>491</v>
      </c>
      <c r="E26" s="33">
        <v>0.35099999999999998</v>
      </c>
    </row>
    <row r="27" spans="1:5" x14ac:dyDescent="0.25">
      <c r="A27" t="s">
        <v>67</v>
      </c>
      <c r="B27" t="s">
        <v>68</v>
      </c>
      <c r="C27" t="s">
        <v>2</v>
      </c>
      <c r="D27" t="s">
        <v>287</v>
      </c>
      <c r="E27" s="33">
        <v>0.27100000000000002</v>
      </c>
    </row>
    <row r="28" spans="1:5" x14ac:dyDescent="0.25">
      <c r="A28" t="s">
        <v>252</v>
      </c>
      <c r="B28" t="s">
        <v>253</v>
      </c>
      <c r="C28" t="s">
        <v>8</v>
      </c>
      <c r="D28" t="s">
        <v>495</v>
      </c>
      <c r="E28" s="33">
        <v>0.217</v>
      </c>
    </row>
    <row r="29" spans="1:5" x14ac:dyDescent="0.25">
      <c r="A29" t="s">
        <v>245</v>
      </c>
      <c r="B29" t="s">
        <v>246</v>
      </c>
      <c r="C29" t="s">
        <v>8</v>
      </c>
      <c r="D29" t="s">
        <v>247</v>
      </c>
      <c r="E29" s="33">
        <v>0.41599999999999998</v>
      </c>
    </row>
    <row r="30" spans="1:5" x14ac:dyDescent="0.25">
      <c r="A30" t="s">
        <v>71</v>
      </c>
      <c r="B30" t="s">
        <v>72</v>
      </c>
      <c r="C30" t="s">
        <v>549</v>
      </c>
      <c r="D30" t="s">
        <v>254</v>
      </c>
      <c r="E30" s="33">
        <v>0.26200000000000001</v>
      </c>
    </row>
    <row r="31" spans="1:5" x14ac:dyDescent="0.25">
      <c r="A31" t="s">
        <v>496</v>
      </c>
      <c r="B31" t="s">
        <v>72</v>
      </c>
      <c r="C31" t="s">
        <v>497</v>
      </c>
      <c r="D31" t="s">
        <v>498</v>
      </c>
      <c r="E31" s="33">
        <v>0.05</v>
      </c>
    </row>
    <row r="32" spans="1:5" x14ac:dyDescent="0.25">
      <c r="A32" t="s">
        <v>255</v>
      </c>
      <c r="B32" t="s">
        <v>256</v>
      </c>
      <c r="C32" t="s">
        <v>8</v>
      </c>
      <c r="D32" t="s">
        <v>257</v>
      </c>
      <c r="E32" s="33">
        <v>0.19</v>
      </c>
    </row>
    <row r="33" spans="1:5" x14ac:dyDescent="0.25">
      <c r="A33" t="s">
        <v>77</v>
      </c>
      <c r="B33" t="s">
        <v>78</v>
      </c>
      <c r="C33" t="s">
        <v>223</v>
      </c>
      <c r="D33" t="s">
        <v>503</v>
      </c>
      <c r="E33" s="33">
        <v>0.47599999999999998</v>
      </c>
    </row>
    <row r="34" spans="1:5" x14ac:dyDescent="0.25">
      <c r="A34" t="s">
        <v>499</v>
      </c>
      <c r="B34" t="s">
        <v>84</v>
      </c>
      <c r="C34" t="s">
        <v>8</v>
      </c>
      <c r="D34" t="s">
        <v>500</v>
      </c>
      <c r="E34" s="33">
        <v>2.7389999999999999</v>
      </c>
    </row>
    <row r="35" spans="1:5" x14ac:dyDescent="0.25">
      <c r="A35" t="s">
        <v>87</v>
      </c>
      <c r="B35" t="s">
        <v>88</v>
      </c>
      <c r="C35" t="s">
        <v>8</v>
      </c>
      <c r="D35" t="s">
        <v>502</v>
      </c>
      <c r="E35" s="33">
        <v>1.6379999999999999</v>
      </c>
    </row>
    <row r="36" spans="1:5" x14ac:dyDescent="0.25">
      <c r="A36" t="s">
        <v>89</v>
      </c>
      <c r="B36" t="s">
        <v>90</v>
      </c>
      <c r="C36" t="s">
        <v>29</v>
      </c>
      <c r="D36" t="s">
        <v>501</v>
      </c>
      <c r="E36" s="33">
        <v>0.72099999999999997</v>
      </c>
    </row>
    <row r="37" spans="1:5" x14ac:dyDescent="0.25">
      <c r="A37" t="s">
        <v>91</v>
      </c>
      <c r="B37" t="s">
        <v>92</v>
      </c>
      <c r="C37" t="s">
        <v>223</v>
      </c>
      <c r="D37" t="s">
        <v>504</v>
      </c>
      <c r="E37" s="33">
        <v>2.0499999999999998</v>
      </c>
    </row>
    <row r="38" spans="1:5" x14ac:dyDescent="0.25">
      <c r="A38" t="s">
        <v>95</v>
      </c>
      <c r="B38" t="s">
        <v>96</v>
      </c>
      <c r="C38" t="s">
        <v>8</v>
      </c>
      <c r="D38" t="s">
        <v>505</v>
      </c>
      <c r="E38" s="33">
        <v>0.28399999999999997</v>
      </c>
    </row>
    <row r="39" spans="1:5" x14ac:dyDescent="0.25">
      <c r="A39" t="s">
        <v>97</v>
      </c>
      <c r="B39" t="s">
        <v>98</v>
      </c>
      <c r="C39" t="s">
        <v>5</v>
      </c>
      <c r="D39" t="s">
        <v>506</v>
      </c>
      <c r="E39" s="33">
        <v>1.109</v>
      </c>
    </row>
    <row r="40" spans="1:5" x14ac:dyDescent="0.25">
      <c r="A40" t="s">
        <v>101</v>
      </c>
      <c r="B40" t="s">
        <v>102</v>
      </c>
      <c r="C40" t="s">
        <v>550</v>
      </c>
      <c r="D40" t="s">
        <v>507</v>
      </c>
      <c r="E40" s="33">
        <v>0.317</v>
      </c>
    </row>
    <row r="41" spans="1:5" x14ac:dyDescent="0.25">
      <c r="A41" t="s">
        <v>105</v>
      </c>
      <c r="B41" t="s">
        <v>106</v>
      </c>
      <c r="C41" t="s">
        <v>8</v>
      </c>
      <c r="D41" t="s">
        <v>508</v>
      </c>
      <c r="E41" s="33">
        <v>0.17899999999999999</v>
      </c>
    </row>
    <row r="42" spans="1:5" x14ac:dyDescent="0.25">
      <c r="A42" t="s">
        <v>109</v>
      </c>
      <c r="B42" t="s">
        <v>110</v>
      </c>
      <c r="C42" t="s">
        <v>223</v>
      </c>
      <c r="D42" t="s">
        <v>551</v>
      </c>
      <c r="E42" s="33">
        <v>0.29499999999999998</v>
      </c>
    </row>
    <row r="43" spans="1:5" x14ac:dyDescent="0.25">
      <c r="A43" t="s">
        <v>201</v>
      </c>
      <c r="B43" t="s">
        <v>202</v>
      </c>
      <c r="C43" t="s">
        <v>203</v>
      </c>
      <c r="D43" t="s">
        <v>261</v>
      </c>
      <c r="E43" s="33">
        <v>0.22900000000000001</v>
      </c>
    </row>
    <row r="44" spans="1:5" x14ac:dyDescent="0.25">
      <c r="A44" t="s">
        <v>113</v>
      </c>
      <c r="B44" t="s">
        <v>114</v>
      </c>
      <c r="C44" t="s">
        <v>8</v>
      </c>
      <c r="D44" t="s">
        <v>262</v>
      </c>
      <c r="E44" s="33">
        <v>0.183</v>
      </c>
    </row>
    <row r="45" spans="1:5" x14ac:dyDescent="0.25">
      <c r="A45" t="s">
        <v>263</v>
      </c>
      <c r="B45" t="s">
        <v>264</v>
      </c>
      <c r="C45" t="s">
        <v>22</v>
      </c>
      <c r="D45" t="s">
        <v>227</v>
      </c>
      <c r="E45" s="33">
        <v>0.45600000000000002</v>
      </c>
    </row>
    <row r="46" spans="1:5" x14ac:dyDescent="0.25">
      <c r="A46" t="s">
        <v>115</v>
      </c>
      <c r="B46" t="s">
        <v>116</v>
      </c>
      <c r="C46" t="s">
        <v>550</v>
      </c>
      <c r="D46" t="s">
        <v>510</v>
      </c>
      <c r="E46" s="33">
        <v>2.9710000000000001</v>
      </c>
    </row>
    <row r="47" spans="1:5" x14ac:dyDescent="0.25">
      <c r="A47" t="s">
        <v>118</v>
      </c>
      <c r="B47" t="s">
        <v>119</v>
      </c>
      <c r="C47" t="s">
        <v>552</v>
      </c>
      <c r="D47" t="s">
        <v>511</v>
      </c>
      <c r="E47" s="33">
        <v>8.4209999999999994</v>
      </c>
    </row>
    <row r="48" spans="1:5" x14ac:dyDescent="0.25">
      <c r="A48" t="s">
        <v>124</v>
      </c>
      <c r="B48" t="s">
        <v>125</v>
      </c>
      <c r="C48" t="s">
        <v>553</v>
      </c>
      <c r="D48" t="s">
        <v>512</v>
      </c>
      <c r="E48" s="33">
        <v>0.64700000000000002</v>
      </c>
    </row>
    <row r="49" spans="1:5" x14ac:dyDescent="0.25">
      <c r="A49" t="s">
        <v>130</v>
      </c>
      <c r="B49" t="s">
        <v>131</v>
      </c>
      <c r="C49" t="s">
        <v>8</v>
      </c>
      <c r="D49" t="s">
        <v>515</v>
      </c>
      <c r="E49" s="33">
        <v>0.56200000000000006</v>
      </c>
    </row>
    <row r="50" spans="1:5" x14ac:dyDescent="0.25">
      <c r="A50" t="s">
        <v>518</v>
      </c>
      <c r="B50" t="s">
        <v>137</v>
      </c>
      <c r="C50" t="s">
        <v>8</v>
      </c>
      <c r="D50" t="s">
        <v>519</v>
      </c>
      <c r="E50" s="33">
        <v>0.64500000000000002</v>
      </c>
    </row>
    <row r="51" spans="1:5" x14ac:dyDescent="0.25">
      <c r="A51" t="s">
        <v>134</v>
      </c>
      <c r="B51" t="s">
        <v>135</v>
      </c>
      <c r="C51" t="s">
        <v>549</v>
      </c>
      <c r="D51" t="s">
        <v>516</v>
      </c>
      <c r="E51" s="33">
        <v>0.14099999999999999</v>
      </c>
    </row>
    <row r="52" spans="1:5" x14ac:dyDescent="0.25">
      <c r="A52" t="s">
        <v>271</v>
      </c>
      <c r="B52" t="s">
        <v>272</v>
      </c>
      <c r="C52" t="s">
        <v>8</v>
      </c>
      <c r="D52" t="s">
        <v>521</v>
      </c>
      <c r="E52" s="33">
        <v>0.64100000000000001</v>
      </c>
    </row>
    <row r="53" spans="1:5" x14ac:dyDescent="0.25">
      <c r="A53" t="s">
        <v>138</v>
      </c>
      <c r="B53" t="s">
        <v>139</v>
      </c>
      <c r="C53" t="s">
        <v>8</v>
      </c>
      <c r="D53" t="s">
        <v>522</v>
      </c>
      <c r="E53" s="33">
        <v>0.124</v>
      </c>
    </row>
    <row r="54" spans="1:5" x14ac:dyDescent="0.25">
      <c r="A54" t="s">
        <v>140</v>
      </c>
      <c r="B54" t="s">
        <v>141</v>
      </c>
      <c r="C54" t="s">
        <v>554</v>
      </c>
      <c r="D54" t="s">
        <v>523</v>
      </c>
      <c r="E54" s="33">
        <v>0.37</v>
      </c>
    </row>
    <row r="55" spans="1:5" x14ac:dyDescent="0.25">
      <c r="A55" t="s">
        <v>273</v>
      </c>
      <c r="B55" t="s">
        <v>274</v>
      </c>
      <c r="C55" t="s">
        <v>8</v>
      </c>
      <c r="D55" t="s">
        <v>524</v>
      </c>
      <c r="E55" s="33">
        <v>0.25800000000000001</v>
      </c>
    </row>
    <row r="56" spans="1:5" x14ac:dyDescent="0.25">
      <c r="A56" t="s">
        <v>145</v>
      </c>
      <c r="B56" t="s">
        <v>146</v>
      </c>
      <c r="C56" t="s">
        <v>8</v>
      </c>
      <c r="D56" t="s">
        <v>275</v>
      </c>
      <c r="E56" s="33">
        <v>7.2999999999999995E-2</v>
      </c>
    </row>
    <row r="57" spans="1:5" x14ac:dyDescent="0.25">
      <c r="A57" t="s">
        <v>147</v>
      </c>
      <c r="B57" t="s">
        <v>148</v>
      </c>
      <c r="C57" t="s">
        <v>276</v>
      </c>
      <c r="D57" t="s">
        <v>525</v>
      </c>
      <c r="E57" s="33">
        <v>4.0670000000000002</v>
      </c>
    </row>
    <row r="58" spans="1:5" x14ac:dyDescent="0.25">
      <c r="A58" t="s">
        <v>149</v>
      </c>
      <c r="B58" t="s">
        <v>148</v>
      </c>
      <c r="C58" t="s">
        <v>270</v>
      </c>
      <c r="D58" t="s">
        <v>278</v>
      </c>
      <c r="E58" s="33">
        <v>5.7949999999999999</v>
      </c>
    </row>
    <row r="59" spans="1:5" x14ac:dyDescent="0.25">
      <c r="A59" t="s">
        <v>268</v>
      </c>
      <c r="B59" t="s">
        <v>269</v>
      </c>
      <c r="C59" t="s">
        <v>555</v>
      </c>
      <c r="D59" t="s">
        <v>517</v>
      </c>
      <c r="E59" s="33">
        <v>0.183</v>
      </c>
    </row>
    <row r="60" spans="1:5" x14ac:dyDescent="0.25">
      <c r="A60" t="s">
        <v>152</v>
      </c>
      <c r="B60" t="s">
        <v>153</v>
      </c>
      <c r="C60" t="s">
        <v>8</v>
      </c>
      <c r="D60" t="s">
        <v>527</v>
      </c>
      <c r="E60" s="33">
        <v>1.361</v>
      </c>
    </row>
    <row r="61" spans="1:5" x14ac:dyDescent="0.25">
      <c r="A61" t="s">
        <v>279</v>
      </c>
      <c r="B61" t="s">
        <v>280</v>
      </c>
      <c r="C61" t="s">
        <v>223</v>
      </c>
      <c r="D61" t="s">
        <v>281</v>
      </c>
      <c r="E61" s="33">
        <v>0.373</v>
      </c>
    </row>
    <row r="62" spans="1:5" x14ac:dyDescent="0.25">
      <c r="A62" t="s">
        <v>156</v>
      </c>
      <c r="B62" t="s">
        <v>157</v>
      </c>
      <c r="C62" t="s">
        <v>549</v>
      </c>
      <c r="D62" t="s">
        <v>528</v>
      </c>
      <c r="E62" s="33">
        <v>1.329</v>
      </c>
    </row>
    <row r="63" spans="1:5" x14ac:dyDescent="0.25">
      <c r="A63" t="s">
        <v>158</v>
      </c>
      <c r="B63" t="s">
        <v>159</v>
      </c>
      <c r="C63" t="s">
        <v>8</v>
      </c>
      <c r="D63" t="s">
        <v>530</v>
      </c>
      <c r="E63" s="33">
        <v>0.77100000000000002</v>
      </c>
    </row>
    <row r="64" spans="1:5" x14ac:dyDescent="0.25">
      <c r="A64" t="s">
        <v>204</v>
      </c>
      <c r="B64" t="s">
        <v>205</v>
      </c>
      <c r="C64" t="s">
        <v>13</v>
      </c>
      <c r="D64" t="s">
        <v>529</v>
      </c>
      <c r="E64" s="33">
        <v>4.1000000000000002E-2</v>
      </c>
    </row>
    <row r="65" spans="1:5" x14ac:dyDescent="0.25">
      <c r="A65" t="s">
        <v>160</v>
      </c>
      <c r="B65" t="s">
        <v>161</v>
      </c>
      <c r="C65" t="s">
        <v>548</v>
      </c>
      <c r="D65" t="s">
        <v>282</v>
      </c>
      <c r="E65" s="33">
        <v>1.89</v>
      </c>
    </row>
    <row r="66" spans="1:5" x14ac:dyDescent="0.25">
      <c r="A66" t="s">
        <v>206</v>
      </c>
      <c r="B66" t="s">
        <v>207</v>
      </c>
      <c r="C66" t="s">
        <v>8</v>
      </c>
      <c r="D66" t="s">
        <v>526</v>
      </c>
      <c r="E66" s="33">
        <v>0.129</v>
      </c>
    </row>
    <row r="67" spans="1:5" x14ac:dyDescent="0.25">
      <c r="A67" t="s">
        <v>162</v>
      </c>
      <c r="B67" t="s">
        <v>163</v>
      </c>
      <c r="C67" t="s">
        <v>556</v>
      </c>
      <c r="D67" t="s">
        <v>267</v>
      </c>
      <c r="E67" s="33">
        <v>1.8160000000000001</v>
      </c>
    </row>
    <row r="68" spans="1:5" x14ac:dyDescent="0.25">
      <c r="A68" t="s">
        <v>513</v>
      </c>
      <c r="B68" t="s">
        <v>163</v>
      </c>
      <c r="C68" t="s">
        <v>497</v>
      </c>
      <c r="D68" t="s">
        <v>514</v>
      </c>
      <c r="E68" s="33">
        <v>6.5000000000000002E-2</v>
      </c>
    </row>
    <row r="69" spans="1:5" x14ac:dyDescent="0.25">
      <c r="A69" t="s">
        <v>164</v>
      </c>
      <c r="B69" t="s">
        <v>165</v>
      </c>
      <c r="C69" t="s">
        <v>166</v>
      </c>
      <c r="D69" t="s">
        <v>284</v>
      </c>
      <c r="E69" s="33">
        <v>0.51800000000000002</v>
      </c>
    </row>
    <row r="70" spans="1:5" x14ac:dyDescent="0.25">
      <c r="A70" t="s">
        <v>167</v>
      </c>
      <c r="B70" t="s">
        <v>168</v>
      </c>
      <c r="C70" t="s">
        <v>556</v>
      </c>
      <c r="D70" t="s">
        <v>531</v>
      </c>
      <c r="E70" s="33">
        <v>3.5379999999999998</v>
      </c>
    </row>
    <row r="71" spans="1:5" x14ac:dyDescent="0.25">
      <c r="A71" t="s">
        <v>210</v>
      </c>
      <c r="B71" t="s">
        <v>211</v>
      </c>
      <c r="C71" t="s">
        <v>549</v>
      </c>
      <c r="D71" t="s">
        <v>532</v>
      </c>
      <c r="E71" s="33">
        <v>0.14099999999999999</v>
      </c>
    </row>
    <row r="72" spans="1:5" x14ac:dyDescent="0.25">
      <c r="A72" t="s">
        <v>288</v>
      </c>
      <c r="B72" t="s">
        <v>289</v>
      </c>
      <c r="C72" t="s">
        <v>8</v>
      </c>
      <c r="D72" t="s">
        <v>533</v>
      </c>
      <c r="E72" s="33">
        <v>0.46</v>
      </c>
    </row>
    <row r="73" spans="1:5" x14ac:dyDescent="0.25">
      <c r="A73" t="s">
        <v>171</v>
      </c>
      <c r="B73" t="s">
        <v>172</v>
      </c>
      <c r="C73" t="s">
        <v>58</v>
      </c>
      <c r="D73" t="s">
        <v>534</v>
      </c>
      <c r="E73" s="33">
        <v>1.36</v>
      </c>
    </row>
    <row r="74" spans="1:5" x14ac:dyDescent="0.25">
      <c r="A74" t="s">
        <v>173</v>
      </c>
      <c r="B74" t="s">
        <v>174</v>
      </c>
      <c r="C74" t="s">
        <v>29</v>
      </c>
      <c r="D74" t="s">
        <v>175</v>
      </c>
      <c r="E74" s="33">
        <v>0.39200000000000002</v>
      </c>
    </row>
    <row r="75" spans="1:5" x14ac:dyDescent="0.25">
      <c r="A75" t="s">
        <v>176</v>
      </c>
      <c r="B75" t="s">
        <v>177</v>
      </c>
      <c r="C75" t="s">
        <v>548</v>
      </c>
      <c r="D75" t="s">
        <v>291</v>
      </c>
      <c r="E75" s="33">
        <v>0.745</v>
      </c>
    </row>
    <row r="76" spans="1:5" x14ac:dyDescent="0.25">
      <c r="A76" t="s">
        <v>178</v>
      </c>
      <c r="B76" t="s">
        <v>179</v>
      </c>
      <c r="C76" t="s">
        <v>8</v>
      </c>
      <c r="D76" t="s">
        <v>535</v>
      </c>
      <c r="E76" s="33">
        <v>0.93600000000000005</v>
      </c>
    </row>
    <row r="77" spans="1:5" x14ac:dyDescent="0.25">
      <c r="A77" t="s">
        <v>180</v>
      </c>
      <c r="B77" t="s">
        <v>181</v>
      </c>
      <c r="C77" t="s">
        <v>8</v>
      </c>
      <c r="D77" t="s">
        <v>292</v>
      </c>
      <c r="E77" s="33">
        <v>0.96099999999999997</v>
      </c>
    </row>
    <row r="78" spans="1:5" x14ac:dyDescent="0.25">
      <c r="A78" t="s">
        <v>182</v>
      </c>
      <c r="B78" t="s">
        <v>183</v>
      </c>
      <c r="C78" t="s">
        <v>43</v>
      </c>
      <c r="D78" t="s">
        <v>536</v>
      </c>
      <c r="E78" s="33">
        <v>0.13200000000000001</v>
      </c>
    </row>
    <row r="79" spans="1:5" x14ac:dyDescent="0.25">
      <c r="A79" t="s">
        <v>185</v>
      </c>
      <c r="B79" t="s">
        <v>186</v>
      </c>
      <c r="C79" t="s">
        <v>8</v>
      </c>
      <c r="D79" t="s">
        <v>537</v>
      </c>
      <c r="E79" s="33">
        <v>11.423</v>
      </c>
    </row>
    <row r="80" spans="1:5" x14ac:dyDescent="0.25">
      <c r="A80" t="s">
        <v>216</v>
      </c>
      <c r="B80" t="s">
        <v>217</v>
      </c>
      <c r="C80" t="s">
        <v>223</v>
      </c>
      <c r="D80" t="s">
        <v>538</v>
      </c>
      <c r="E80" s="33">
        <v>5.3999999999999999E-2</v>
      </c>
    </row>
    <row r="81" spans="1:5" x14ac:dyDescent="0.25">
      <c r="A81" t="s">
        <v>218</v>
      </c>
      <c r="B81" t="s">
        <v>219</v>
      </c>
      <c r="C81" t="s">
        <v>8</v>
      </c>
      <c r="D81" t="s">
        <v>539</v>
      </c>
      <c r="E81" s="33">
        <v>1.3140000000000001</v>
      </c>
    </row>
    <row r="82" spans="1:5" x14ac:dyDescent="0.25">
      <c r="A82" t="s">
        <v>228</v>
      </c>
      <c r="B82" t="s">
        <v>229</v>
      </c>
      <c r="C82" t="s">
        <v>58</v>
      </c>
      <c r="D82" t="s">
        <v>540</v>
      </c>
      <c r="E82" s="33">
        <v>0.17</v>
      </c>
    </row>
    <row r="83" spans="1:5" x14ac:dyDescent="0.25">
      <c r="A83" t="s">
        <v>189</v>
      </c>
      <c r="B83" t="s">
        <v>190</v>
      </c>
      <c r="C83" t="s">
        <v>220</v>
      </c>
      <c r="D83" t="s">
        <v>290</v>
      </c>
      <c r="E83" s="33">
        <v>1.034</v>
      </c>
    </row>
    <row r="84" spans="1:5" x14ac:dyDescent="0.25">
      <c r="A84" t="s">
        <v>191</v>
      </c>
      <c r="B84" t="s">
        <v>192</v>
      </c>
      <c r="C84" t="s">
        <v>58</v>
      </c>
      <c r="D84" t="s">
        <v>294</v>
      </c>
      <c r="E84" s="33">
        <v>3.0670000000000002</v>
      </c>
    </row>
    <row r="85" spans="1:5" x14ac:dyDescent="0.25">
      <c r="A85" t="s">
        <v>193</v>
      </c>
      <c r="B85" t="s">
        <v>194</v>
      </c>
      <c r="C85" t="s">
        <v>58</v>
      </c>
      <c r="D85" t="s">
        <v>541</v>
      </c>
      <c r="E85" s="33">
        <v>0.13600000000000001</v>
      </c>
    </row>
  </sheetData>
  <sortState xmlns:xlrd2="http://schemas.microsoft.com/office/spreadsheetml/2017/richdata2" ref="A1:E85">
    <sortCondition ref="A1:A85"/>
  </sortState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624A-3F0F-446F-8656-591074D5F1AC}">
  <dimension ref="A1:E85"/>
  <sheetViews>
    <sheetView workbookViewId="0">
      <selection activeCell="E1" sqref="E1:E85"/>
    </sheetView>
  </sheetViews>
  <sheetFormatPr defaultRowHeight="15" x14ac:dyDescent="0.25"/>
  <cols>
    <col min="1" max="1" width="12.7109375" customWidth="1"/>
    <col min="2" max="2" width="20.5703125" customWidth="1"/>
    <col min="3" max="3" width="12" customWidth="1"/>
    <col min="4" max="4" width="19.28515625" customWidth="1"/>
    <col min="5" max="5" width="16.28515625" style="33" customWidth="1"/>
  </cols>
  <sheetData>
    <row r="1" spans="1:5" x14ac:dyDescent="0.25">
      <c r="A1" t="s">
        <v>0</v>
      </c>
      <c r="B1" t="s">
        <v>1</v>
      </c>
      <c r="C1" t="s">
        <v>2</v>
      </c>
      <c r="D1" s="32">
        <v>4273841357</v>
      </c>
      <c r="E1" s="33">
        <v>2.4409999999999998</v>
      </c>
    </row>
    <row r="2" spans="1:5" x14ac:dyDescent="0.25">
      <c r="A2" t="s">
        <v>221</v>
      </c>
      <c r="B2" t="s">
        <v>222</v>
      </c>
      <c r="C2" t="s">
        <v>8</v>
      </c>
      <c r="D2" s="32">
        <v>466135796</v>
      </c>
      <c r="E2" s="33">
        <v>0.53200000000000003</v>
      </c>
    </row>
    <row r="3" spans="1:5" x14ac:dyDescent="0.25">
      <c r="A3" t="s">
        <v>9</v>
      </c>
      <c r="B3" t="s">
        <v>10</v>
      </c>
      <c r="C3" t="s">
        <v>8</v>
      </c>
      <c r="D3" s="32">
        <v>1338601375</v>
      </c>
      <c r="E3" s="33">
        <v>0.44700000000000001</v>
      </c>
    </row>
    <row r="4" spans="1:5" x14ac:dyDescent="0.25">
      <c r="A4" t="s">
        <v>231</v>
      </c>
      <c r="B4" t="s">
        <v>232</v>
      </c>
      <c r="C4" t="s">
        <v>8</v>
      </c>
      <c r="D4" s="32">
        <v>318338365</v>
      </c>
      <c r="E4" s="33">
        <v>0.13500000000000001</v>
      </c>
    </row>
    <row r="5" spans="1:5" x14ac:dyDescent="0.25">
      <c r="A5" t="s">
        <v>476</v>
      </c>
      <c r="B5" t="s">
        <v>477</v>
      </c>
      <c r="C5" t="s">
        <v>81</v>
      </c>
      <c r="D5" s="32">
        <v>1945846761</v>
      </c>
      <c r="E5" s="33">
        <v>4.1959999999999997</v>
      </c>
    </row>
    <row r="6" spans="1:5" x14ac:dyDescent="0.25">
      <c r="A6" t="s">
        <v>479</v>
      </c>
      <c r="B6" t="s">
        <v>477</v>
      </c>
      <c r="C6" t="s">
        <v>62</v>
      </c>
      <c r="D6" s="32">
        <v>270655585</v>
      </c>
      <c r="E6" s="33">
        <v>0.61699999999999999</v>
      </c>
    </row>
    <row r="7" spans="1:5" x14ac:dyDescent="0.25">
      <c r="A7" t="s">
        <v>481</v>
      </c>
      <c r="B7" t="s">
        <v>477</v>
      </c>
      <c r="C7" t="s">
        <v>482</v>
      </c>
      <c r="D7" s="32">
        <v>582580795</v>
      </c>
      <c r="E7" s="33">
        <v>1.2150000000000001</v>
      </c>
    </row>
    <row r="8" spans="1:5" x14ac:dyDescent="0.25">
      <c r="A8" t="s">
        <v>234</v>
      </c>
      <c r="B8" t="s">
        <v>235</v>
      </c>
      <c r="C8" t="s">
        <v>8</v>
      </c>
      <c r="D8" s="32">
        <v>132447688</v>
      </c>
      <c r="E8" s="33">
        <v>0.123</v>
      </c>
    </row>
    <row r="9" spans="1:5" x14ac:dyDescent="0.25">
      <c r="A9" t="s">
        <v>14</v>
      </c>
      <c r="B9" t="s">
        <v>15</v>
      </c>
      <c r="C9" t="s">
        <v>8</v>
      </c>
      <c r="D9" s="32">
        <v>5196371458</v>
      </c>
      <c r="E9" s="33">
        <v>3.254</v>
      </c>
    </row>
    <row r="10" spans="1:5" x14ac:dyDescent="0.25">
      <c r="A10" t="s">
        <v>16</v>
      </c>
      <c r="B10" t="s">
        <v>17</v>
      </c>
      <c r="C10" t="s">
        <v>8</v>
      </c>
      <c r="D10" s="32">
        <v>2842496541</v>
      </c>
      <c r="E10" s="33">
        <v>2.5640000000000001</v>
      </c>
    </row>
    <row r="11" spans="1:5" x14ac:dyDescent="0.25">
      <c r="A11" t="s">
        <v>18</v>
      </c>
      <c r="B11" t="s">
        <v>19</v>
      </c>
      <c r="C11" t="s">
        <v>20</v>
      </c>
      <c r="D11" s="32">
        <v>1467570789</v>
      </c>
      <c r="E11" s="33">
        <v>0.98799999999999999</v>
      </c>
    </row>
    <row r="12" spans="1:5" x14ac:dyDescent="0.25">
      <c r="A12" t="s">
        <v>21</v>
      </c>
      <c r="B12" t="s">
        <v>19</v>
      </c>
      <c r="C12" t="s">
        <v>22</v>
      </c>
      <c r="D12" s="32">
        <v>5106488516</v>
      </c>
      <c r="E12" s="33">
        <v>3.9830000000000001</v>
      </c>
    </row>
    <row r="13" spans="1:5" x14ac:dyDescent="0.25">
      <c r="A13" t="s">
        <v>23</v>
      </c>
      <c r="B13" t="s">
        <v>24</v>
      </c>
      <c r="C13" t="s">
        <v>8</v>
      </c>
      <c r="D13" s="32">
        <v>616186808</v>
      </c>
      <c r="E13" s="33">
        <v>0.86899999999999999</v>
      </c>
    </row>
    <row r="14" spans="1:5" x14ac:dyDescent="0.25">
      <c r="A14" t="s">
        <v>25</v>
      </c>
      <c r="B14" t="s">
        <v>26</v>
      </c>
      <c r="C14" t="s">
        <v>8</v>
      </c>
      <c r="D14" s="32">
        <v>439073587</v>
      </c>
      <c r="E14" s="33">
        <v>9.2999999999999999E-2</v>
      </c>
    </row>
    <row r="15" spans="1:5" x14ac:dyDescent="0.25">
      <c r="A15" t="s">
        <v>31</v>
      </c>
      <c r="B15" t="s">
        <v>32</v>
      </c>
      <c r="C15" t="s">
        <v>29</v>
      </c>
      <c r="D15" s="32">
        <v>1404794900</v>
      </c>
      <c r="E15" s="33">
        <v>3.0030000000000001</v>
      </c>
    </row>
    <row r="16" spans="1:5" x14ac:dyDescent="0.25">
      <c r="A16" t="s">
        <v>35</v>
      </c>
      <c r="B16" t="s">
        <v>36</v>
      </c>
      <c r="C16" t="s">
        <v>5</v>
      </c>
      <c r="D16" s="32">
        <v>250914708</v>
      </c>
      <c r="E16" s="33">
        <v>0.22700000000000001</v>
      </c>
    </row>
    <row r="17" spans="1:5" x14ac:dyDescent="0.25">
      <c r="A17" t="s">
        <v>242</v>
      </c>
      <c r="B17" t="s">
        <v>243</v>
      </c>
      <c r="C17" t="s">
        <v>8</v>
      </c>
      <c r="D17" s="32">
        <v>462883017</v>
      </c>
      <c r="E17" s="33">
        <v>0.30399999999999999</v>
      </c>
    </row>
    <row r="18" spans="1:5" x14ac:dyDescent="0.25">
      <c r="A18" t="s">
        <v>41</v>
      </c>
      <c r="B18" t="s">
        <v>42</v>
      </c>
      <c r="C18" t="s">
        <v>43</v>
      </c>
      <c r="D18" s="32">
        <v>265876767</v>
      </c>
      <c r="E18" s="33">
        <v>0.104</v>
      </c>
    </row>
    <row r="19" spans="1:5" x14ac:dyDescent="0.25">
      <c r="A19" t="s">
        <v>248</v>
      </c>
      <c r="B19" t="s">
        <v>249</v>
      </c>
      <c r="C19" t="s">
        <v>8</v>
      </c>
      <c r="D19" s="32">
        <v>204964309</v>
      </c>
      <c r="E19" s="33">
        <v>9.6000000000000002E-2</v>
      </c>
    </row>
    <row r="20" spans="1:5" x14ac:dyDescent="0.25">
      <c r="A20" t="s">
        <v>52</v>
      </c>
      <c r="B20" t="s">
        <v>53</v>
      </c>
      <c r="C20" t="s">
        <v>5</v>
      </c>
      <c r="D20" s="32">
        <v>1904057894</v>
      </c>
      <c r="E20" s="33">
        <v>0.82199999999999995</v>
      </c>
    </row>
    <row r="21" spans="1:5" x14ac:dyDescent="0.25">
      <c r="A21" t="s">
        <v>199</v>
      </c>
      <c r="B21" t="s">
        <v>200</v>
      </c>
      <c r="C21" t="s">
        <v>142</v>
      </c>
      <c r="D21" s="32">
        <v>1646519336</v>
      </c>
      <c r="E21" s="33">
        <v>0.35099999999999998</v>
      </c>
    </row>
    <row r="22" spans="1:5" x14ac:dyDescent="0.25">
      <c r="A22" t="s">
        <v>54</v>
      </c>
      <c r="B22" t="s">
        <v>55</v>
      </c>
      <c r="C22" t="s">
        <v>8</v>
      </c>
      <c r="D22" s="32">
        <v>1914692857</v>
      </c>
      <c r="E22" s="33">
        <v>0.253</v>
      </c>
    </row>
    <row r="23" spans="1:5" x14ac:dyDescent="0.25">
      <c r="A23" t="s">
        <v>56</v>
      </c>
      <c r="B23" t="s">
        <v>57</v>
      </c>
      <c r="C23" t="s">
        <v>8</v>
      </c>
      <c r="D23" s="32">
        <v>187732538</v>
      </c>
      <c r="E23" s="33">
        <v>0.34100000000000003</v>
      </c>
    </row>
    <row r="24" spans="1:5" x14ac:dyDescent="0.25">
      <c r="A24" t="s">
        <v>492</v>
      </c>
      <c r="B24" t="s">
        <v>61</v>
      </c>
      <c r="C24" t="s">
        <v>8</v>
      </c>
      <c r="D24" s="32">
        <v>1709534925</v>
      </c>
      <c r="E24" s="33">
        <v>0.877</v>
      </c>
    </row>
    <row r="25" spans="1:5" x14ac:dyDescent="0.25">
      <c r="A25" t="s">
        <v>65</v>
      </c>
      <c r="B25" t="s">
        <v>66</v>
      </c>
      <c r="C25" t="s">
        <v>8</v>
      </c>
      <c r="D25" s="32">
        <v>1802521475</v>
      </c>
      <c r="E25" s="33">
        <v>0.41599999999999998</v>
      </c>
    </row>
    <row r="26" spans="1:5" x14ac:dyDescent="0.25">
      <c r="A26" t="s">
        <v>489</v>
      </c>
      <c r="B26" t="s">
        <v>490</v>
      </c>
      <c r="C26" t="s">
        <v>8</v>
      </c>
      <c r="D26" s="32">
        <v>188467895</v>
      </c>
      <c r="E26" s="33">
        <v>0.39</v>
      </c>
    </row>
    <row r="27" spans="1:5" x14ac:dyDescent="0.25">
      <c r="A27" t="s">
        <v>67</v>
      </c>
      <c r="B27" t="s">
        <v>68</v>
      </c>
      <c r="C27" t="s">
        <v>557</v>
      </c>
      <c r="D27" s="32">
        <v>727975012</v>
      </c>
      <c r="E27" s="33">
        <v>0.254</v>
      </c>
    </row>
    <row r="28" spans="1:5" x14ac:dyDescent="0.25">
      <c r="A28" t="s">
        <v>252</v>
      </c>
      <c r="B28" t="s">
        <v>253</v>
      </c>
      <c r="C28" t="s">
        <v>58</v>
      </c>
      <c r="D28" s="32">
        <v>160988231</v>
      </c>
      <c r="E28" s="33">
        <v>0.22800000000000001</v>
      </c>
    </row>
    <row r="29" spans="1:5" x14ac:dyDescent="0.25">
      <c r="A29" t="s">
        <v>245</v>
      </c>
      <c r="B29" t="s">
        <v>246</v>
      </c>
      <c r="C29" t="s">
        <v>8</v>
      </c>
      <c r="D29" s="32">
        <v>600000000</v>
      </c>
      <c r="E29" s="33">
        <v>0.40200000000000002</v>
      </c>
    </row>
    <row r="30" spans="1:5" x14ac:dyDescent="0.25">
      <c r="A30" t="s">
        <v>71</v>
      </c>
      <c r="B30" t="s">
        <v>72</v>
      </c>
      <c r="C30" t="s">
        <v>8</v>
      </c>
      <c r="D30" s="32">
        <v>256055995</v>
      </c>
      <c r="E30" s="33">
        <v>0.28999999999999998</v>
      </c>
    </row>
    <row r="31" spans="1:5" x14ac:dyDescent="0.25">
      <c r="A31" t="s">
        <v>496</v>
      </c>
      <c r="B31" t="s">
        <v>72</v>
      </c>
      <c r="C31" t="s">
        <v>497</v>
      </c>
      <c r="D31" s="32">
        <v>48543949</v>
      </c>
      <c r="E31" s="33">
        <v>5.1999999999999998E-2</v>
      </c>
    </row>
    <row r="32" spans="1:5" x14ac:dyDescent="0.25">
      <c r="A32" t="s">
        <v>255</v>
      </c>
      <c r="B32" t="s">
        <v>256</v>
      </c>
      <c r="C32" t="s">
        <v>8</v>
      </c>
      <c r="D32" s="32">
        <v>325640184</v>
      </c>
      <c r="E32" s="33">
        <v>0.187</v>
      </c>
    </row>
    <row r="33" spans="1:5" x14ac:dyDescent="0.25">
      <c r="A33" t="s">
        <v>77</v>
      </c>
      <c r="B33" t="s">
        <v>78</v>
      </c>
      <c r="C33" t="s">
        <v>8</v>
      </c>
      <c r="D33" s="32">
        <v>357310487</v>
      </c>
      <c r="E33" s="33">
        <v>0.45200000000000001</v>
      </c>
    </row>
    <row r="34" spans="1:5" x14ac:dyDescent="0.25">
      <c r="A34" t="s">
        <v>499</v>
      </c>
      <c r="B34" t="s">
        <v>84</v>
      </c>
      <c r="C34" t="s">
        <v>8</v>
      </c>
      <c r="D34" s="32">
        <v>722766139</v>
      </c>
      <c r="E34" s="33">
        <v>2.4430000000000001</v>
      </c>
    </row>
    <row r="35" spans="1:5" x14ac:dyDescent="0.25">
      <c r="A35" t="s">
        <v>87</v>
      </c>
      <c r="B35" t="s">
        <v>88</v>
      </c>
      <c r="C35" t="s">
        <v>8</v>
      </c>
      <c r="D35" s="32">
        <v>1912889086</v>
      </c>
      <c r="E35" s="33">
        <v>1.4</v>
      </c>
    </row>
    <row r="36" spans="1:5" x14ac:dyDescent="0.25">
      <c r="A36" t="s">
        <v>89</v>
      </c>
      <c r="B36" t="s">
        <v>90</v>
      </c>
      <c r="C36" t="s">
        <v>29</v>
      </c>
      <c r="D36" s="32">
        <v>358053350</v>
      </c>
      <c r="E36" s="33">
        <v>0.67600000000000005</v>
      </c>
    </row>
    <row r="37" spans="1:5" x14ac:dyDescent="0.25">
      <c r="A37" t="s">
        <v>91</v>
      </c>
      <c r="B37" t="s">
        <v>92</v>
      </c>
      <c r="C37" t="s">
        <v>8</v>
      </c>
      <c r="D37" s="32">
        <v>1250951305</v>
      </c>
      <c r="E37" s="33">
        <v>1.905</v>
      </c>
    </row>
    <row r="38" spans="1:5" x14ac:dyDescent="0.25">
      <c r="A38" t="s">
        <v>95</v>
      </c>
      <c r="B38" t="s">
        <v>96</v>
      </c>
      <c r="C38" t="s">
        <v>8</v>
      </c>
      <c r="D38" s="32">
        <v>447150822</v>
      </c>
      <c r="E38" s="33">
        <v>0.27800000000000002</v>
      </c>
    </row>
    <row r="39" spans="1:5" x14ac:dyDescent="0.25">
      <c r="A39" t="s">
        <v>97</v>
      </c>
      <c r="B39" t="s">
        <v>98</v>
      </c>
      <c r="C39" t="s">
        <v>5</v>
      </c>
      <c r="D39" s="32">
        <v>1263524206</v>
      </c>
      <c r="E39" s="33">
        <v>1.036</v>
      </c>
    </row>
    <row r="40" spans="1:5" x14ac:dyDescent="0.25">
      <c r="A40" t="s">
        <v>101</v>
      </c>
      <c r="B40" t="s">
        <v>102</v>
      </c>
      <c r="C40" t="s">
        <v>5</v>
      </c>
      <c r="D40" s="32">
        <v>830615826</v>
      </c>
      <c r="E40" s="33">
        <v>0.308</v>
      </c>
    </row>
    <row r="41" spans="1:5" x14ac:dyDescent="0.25">
      <c r="A41" t="s">
        <v>105</v>
      </c>
      <c r="B41" t="s">
        <v>106</v>
      </c>
      <c r="C41" t="s">
        <v>8</v>
      </c>
      <c r="D41" s="32">
        <v>287507905</v>
      </c>
      <c r="E41" s="33">
        <v>0.11600000000000001</v>
      </c>
    </row>
    <row r="42" spans="1:5" x14ac:dyDescent="0.25">
      <c r="A42" t="s">
        <v>109</v>
      </c>
      <c r="B42" t="s">
        <v>110</v>
      </c>
      <c r="C42" t="s">
        <v>509</v>
      </c>
      <c r="D42" s="32">
        <v>329017784</v>
      </c>
      <c r="E42" s="33">
        <v>0.28199999999999997</v>
      </c>
    </row>
    <row r="43" spans="1:5" x14ac:dyDescent="0.25">
      <c r="A43" t="s">
        <v>201</v>
      </c>
      <c r="B43" t="s">
        <v>202</v>
      </c>
      <c r="C43" t="s">
        <v>203</v>
      </c>
      <c r="D43" s="32">
        <v>211401696</v>
      </c>
      <c r="E43" s="33">
        <v>0.224</v>
      </c>
    </row>
    <row r="44" spans="1:5" x14ac:dyDescent="0.25">
      <c r="A44" t="s">
        <v>113</v>
      </c>
      <c r="B44" t="s">
        <v>114</v>
      </c>
      <c r="C44" t="s">
        <v>8</v>
      </c>
      <c r="D44" s="32">
        <v>81838787</v>
      </c>
      <c r="E44" s="33">
        <v>0.17799999999999999</v>
      </c>
    </row>
    <row r="45" spans="1:5" x14ac:dyDescent="0.25">
      <c r="A45" t="s">
        <v>263</v>
      </c>
      <c r="B45" t="s">
        <v>264</v>
      </c>
      <c r="C45" t="s">
        <v>5</v>
      </c>
      <c r="D45" s="32">
        <v>395801044</v>
      </c>
      <c r="E45" s="33">
        <v>0.43099999999999999</v>
      </c>
    </row>
    <row r="46" spans="1:5" x14ac:dyDescent="0.25">
      <c r="A46" t="s">
        <v>115</v>
      </c>
      <c r="B46" t="s">
        <v>116</v>
      </c>
      <c r="C46" t="s">
        <v>5</v>
      </c>
      <c r="D46" s="32">
        <v>5970522444</v>
      </c>
      <c r="E46" s="33">
        <v>3.2429999999999999</v>
      </c>
    </row>
    <row r="47" spans="1:5" x14ac:dyDescent="0.25">
      <c r="A47" t="s">
        <v>118</v>
      </c>
      <c r="B47" t="s">
        <v>119</v>
      </c>
      <c r="C47" t="s">
        <v>5</v>
      </c>
      <c r="D47" s="32">
        <v>5027870728</v>
      </c>
      <c r="E47" s="33">
        <v>8.9890000000000008</v>
      </c>
    </row>
    <row r="48" spans="1:5" x14ac:dyDescent="0.25">
      <c r="A48" t="s">
        <v>124</v>
      </c>
      <c r="B48" t="s">
        <v>125</v>
      </c>
      <c r="C48" t="s">
        <v>29</v>
      </c>
      <c r="D48" s="32">
        <v>792355216</v>
      </c>
      <c r="E48" s="33">
        <v>0.60299999999999998</v>
      </c>
    </row>
    <row r="49" spans="1:5" x14ac:dyDescent="0.25">
      <c r="A49" t="s">
        <v>130</v>
      </c>
      <c r="B49" t="s">
        <v>131</v>
      </c>
      <c r="C49" t="s">
        <v>8</v>
      </c>
      <c r="D49" s="32">
        <v>981927306</v>
      </c>
      <c r="E49" s="33">
        <v>0.54300000000000004</v>
      </c>
    </row>
    <row r="50" spans="1:5" x14ac:dyDescent="0.25">
      <c r="A50" t="s">
        <v>518</v>
      </c>
      <c r="B50" t="s">
        <v>137</v>
      </c>
      <c r="C50" t="s">
        <v>8</v>
      </c>
      <c r="D50" s="32">
        <v>767248368</v>
      </c>
      <c r="E50" s="33">
        <v>0.53</v>
      </c>
    </row>
    <row r="51" spans="1:5" x14ac:dyDescent="0.25">
      <c r="A51" t="s">
        <v>134</v>
      </c>
      <c r="B51" t="s">
        <v>135</v>
      </c>
      <c r="C51" t="s">
        <v>8</v>
      </c>
      <c r="D51" s="32">
        <v>373185407</v>
      </c>
      <c r="E51" s="33">
        <v>0.15</v>
      </c>
    </row>
    <row r="52" spans="1:5" x14ac:dyDescent="0.25">
      <c r="A52" t="s">
        <v>271</v>
      </c>
      <c r="B52" t="s">
        <v>272</v>
      </c>
      <c r="C52" t="s">
        <v>8</v>
      </c>
      <c r="D52" s="32">
        <v>1002196725</v>
      </c>
      <c r="E52" s="33">
        <v>0.622</v>
      </c>
    </row>
    <row r="53" spans="1:5" x14ac:dyDescent="0.25">
      <c r="A53" t="s">
        <v>138</v>
      </c>
      <c r="B53" t="s">
        <v>139</v>
      </c>
      <c r="C53" t="s">
        <v>8</v>
      </c>
      <c r="D53" s="32">
        <v>374670758</v>
      </c>
      <c r="E53" s="33">
        <v>0.13400000000000001</v>
      </c>
    </row>
    <row r="54" spans="1:5" x14ac:dyDescent="0.25">
      <c r="A54" t="s">
        <v>140</v>
      </c>
      <c r="B54" t="s">
        <v>141</v>
      </c>
      <c r="C54" t="s">
        <v>142</v>
      </c>
      <c r="D54" s="32">
        <v>320022221</v>
      </c>
      <c r="E54" s="33">
        <v>0.39200000000000002</v>
      </c>
    </row>
    <row r="55" spans="1:5" x14ac:dyDescent="0.25">
      <c r="A55" t="s">
        <v>273</v>
      </c>
      <c r="B55" t="s">
        <v>274</v>
      </c>
      <c r="C55" t="s">
        <v>8</v>
      </c>
      <c r="D55" s="32">
        <v>838359453</v>
      </c>
      <c r="E55" s="33">
        <v>0.28999999999999998</v>
      </c>
    </row>
    <row r="56" spans="1:5" x14ac:dyDescent="0.25">
      <c r="A56" t="s">
        <v>145</v>
      </c>
      <c r="B56" t="s">
        <v>146</v>
      </c>
      <c r="C56" t="s">
        <v>8</v>
      </c>
      <c r="D56" s="32">
        <v>433412603</v>
      </c>
      <c r="E56" s="33">
        <v>5.6000000000000001E-2</v>
      </c>
    </row>
    <row r="57" spans="1:5" x14ac:dyDescent="0.25">
      <c r="A57" t="s">
        <v>147</v>
      </c>
      <c r="B57" t="s">
        <v>148</v>
      </c>
      <c r="C57" t="s">
        <v>142</v>
      </c>
      <c r="D57" s="32">
        <v>2943171983</v>
      </c>
      <c r="E57" s="33">
        <v>4.3760000000000003</v>
      </c>
    </row>
    <row r="58" spans="1:5" x14ac:dyDescent="0.25">
      <c r="A58" t="s">
        <v>149</v>
      </c>
      <c r="B58" t="s">
        <v>148</v>
      </c>
      <c r="C58" t="s">
        <v>13</v>
      </c>
      <c r="D58" s="32">
        <v>4410960450</v>
      </c>
      <c r="E58" s="33">
        <v>6.0819999999999999</v>
      </c>
    </row>
    <row r="59" spans="1:5" x14ac:dyDescent="0.25">
      <c r="A59" t="s">
        <v>268</v>
      </c>
      <c r="B59" t="s">
        <v>269</v>
      </c>
      <c r="C59" t="s">
        <v>13</v>
      </c>
      <c r="D59" s="32">
        <v>727730867</v>
      </c>
      <c r="E59" s="33">
        <v>0.17100000000000001</v>
      </c>
    </row>
    <row r="60" spans="1:5" x14ac:dyDescent="0.25">
      <c r="A60" t="s">
        <v>152</v>
      </c>
      <c r="B60" t="s">
        <v>153</v>
      </c>
      <c r="C60" t="s">
        <v>8</v>
      </c>
      <c r="D60" s="32">
        <v>762017253</v>
      </c>
      <c r="E60" s="33">
        <v>1.4790000000000001</v>
      </c>
    </row>
    <row r="61" spans="1:5" x14ac:dyDescent="0.25">
      <c r="A61" t="s">
        <v>279</v>
      </c>
      <c r="B61" t="s">
        <v>280</v>
      </c>
      <c r="C61" t="s">
        <v>8</v>
      </c>
      <c r="D61" s="32">
        <v>181016454</v>
      </c>
      <c r="E61" s="33">
        <v>0.34799999999999998</v>
      </c>
    </row>
    <row r="62" spans="1:5" x14ac:dyDescent="0.25">
      <c r="A62" t="s">
        <v>156</v>
      </c>
      <c r="B62" t="s">
        <v>157</v>
      </c>
      <c r="C62" t="s">
        <v>8</v>
      </c>
      <c r="D62" s="32">
        <v>1311428175</v>
      </c>
      <c r="E62" s="33">
        <v>1.282</v>
      </c>
    </row>
    <row r="63" spans="1:5" x14ac:dyDescent="0.25">
      <c r="A63" t="s">
        <v>158</v>
      </c>
      <c r="B63" t="s">
        <v>159</v>
      </c>
      <c r="C63" t="s">
        <v>8</v>
      </c>
      <c r="D63" s="32">
        <v>1221155293</v>
      </c>
      <c r="E63" s="33">
        <v>0.72699999999999998</v>
      </c>
    </row>
    <row r="64" spans="1:5" x14ac:dyDescent="0.25">
      <c r="A64" t="s">
        <v>204</v>
      </c>
      <c r="B64" t="s">
        <v>205</v>
      </c>
      <c r="C64" t="s">
        <v>13</v>
      </c>
      <c r="D64" s="32">
        <v>1198936529</v>
      </c>
      <c r="E64" s="33">
        <v>3.3000000000000002E-2</v>
      </c>
    </row>
    <row r="65" spans="1:5" x14ac:dyDescent="0.25">
      <c r="A65" t="s">
        <v>160</v>
      </c>
      <c r="B65" t="s">
        <v>161</v>
      </c>
      <c r="C65" t="s">
        <v>8</v>
      </c>
      <c r="D65" s="32">
        <v>1091469308</v>
      </c>
      <c r="E65" s="33">
        <v>1.6659999999999999</v>
      </c>
    </row>
    <row r="66" spans="1:5" x14ac:dyDescent="0.25">
      <c r="A66" t="s">
        <v>206</v>
      </c>
      <c r="B66" t="s">
        <v>207</v>
      </c>
      <c r="C66" t="s">
        <v>8</v>
      </c>
      <c r="D66" s="32">
        <v>274630892</v>
      </c>
      <c r="E66" s="33">
        <v>0.109</v>
      </c>
    </row>
    <row r="67" spans="1:5" x14ac:dyDescent="0.25">
      <c r="A67" t="s">
        <v>162</v>
      </c>
      <c r="B67" t="s">
        <v>163</v>
      </c>
      <c r="C67" t="s">
        <v>8</v>
      </c>
      <c r="D67" s="32">
        <v>977042684</v>
      </c>
      <c r="E67" s="33">
        <v>1.8089999999999999</v>
      </c>
    </row>
    <row r="68" spans="1:5" x14ac:dyDescent="0.25">
      <c r="A68" t="s">
        <v>513</v>
      </c>
      <c r="B68" t="s">
        <v>163</v>
      </c>
      <c r="C68" t="s">
        <v>497</v>
      </c>
      <c r="D68" s="32">
        <v>37577993</v>
      </c>
      <c r="E68" s="33">
        <v>6.8000000000000005E-2</v>
      </c>
    </row>
    <row r="69" spans="1:5" x14ac:dyDescent="0.25">
      <c r="A69" t="s">
        <v>164</v>
      </c>
      <c r="B69" t="s">
        <v>165</v>
      </c>
      <c r="C69" t="s">
        <v>166</v>
      </c>
      <c r="D69" s="32">
        <v>360347199</v>
      </c>
      <c r="E69" s="33">
        <v>0.48399999999999999</v>
      </c>
    </row>
    <row r="70" spans="1:5" x14ac:dyDescent="0.25">
      <c r="A70" t="s">
        <v>167</v>
      </c>
      <c r="B70" t="s">
        <v>168</v>
      </c>
      <c r="C70" t="s">
        <v>8</v>
      </c>
      <c r="D70" s="32">
        <v>621445261</v>
      </c>
      <c r="E70" s="33">
        <v>3.444</v>
      </c>
    </row>
    <row r="71" spans="1:5" x14ac:dyDescent="0.25">
      <c r="A71" t="s">
        <v>210</v>
      </c>
      <c r="B71" t="s">
        <v>211</v>
      </c>
      <c r="C71" t="s">
        <v>8</v>
      </c>
      <c r="D71" s="32">
        <v>222404640</v>
      </c>
      <c r="E71" s="33">
        <v>0.129</v>
      </c>
    </row>
    <row r="72" spans="1:5" x14ac:dyDescent="0.25">
      <c r="A72" t="s">
        <v>288</v>
      </c>
      <c r="B72" t="s">
        <v>289</v>
      </c>
      <c r="C72" t="s">
        <v>8</v>
      </c>
      <c r="D72" s="32">
        <v>467471342</v>
      </c>
      <c r="E72" s="33">
        <v>0.36899999999999999</v>
      </c>
    </row>
    <row r="73" spans="1:5" x14ac:dyDescent="0.25">
      <c r="A73" t="s">
        <v>171</v>
      </c>
      <c r="B73" t="s">
        <v>172</v>
      </c>
      <c r="C73" t="s">
        <v>8</v>
      </c>
      <c r="D73" s="32">
        <v>612918471</v>
      </c>
      <c r="E73" s="33">
        <v>1.286</v>
      </c>
    </row>
    <row r="74" spans="1:5" x14ac:dyDescent="0.25">
      <c r="A74" t="s">
        <v>173</v>
      </c>
      <c r="B74" t="s">
        <v>174</v>
      </c>
      <c r="C74" t="s">
        <v>29</v>
      </c>
      <c r="D74" s="32">
        <v>218568234</v>
      </c>
      <c r="E74" s="33">
        <v>0.35199999999999998</v>
      </c>
    </row>
    <row r="75" spans="1:5" x14ac:dyDescent="0.25">
      <c r="A75" t="s">
        <v>176</v>
      </c>
      <c r="B75" t="s">
        <v>177</v>
      </c>
      <c r="C75" t="s">
        <v>8</v>
      </c>
      <c r="D75" s="32">
        <v>804628136</v>
      </c>
      <c r="E75" s="33">
        <v>0.81699999999999995</v>
      </c>
    </row>
    <row r="76" spans="1:5" x14ac:dyDescent="0.25">
      <c r="A76" t="s">
        <v>178</v>
      </c>
      <c r="B76" t="s">
        <v>179</v>
      </c>
      <c r="C76" t="s">
        <v>8</v>
      </c>
      <c r="D76" s="32">
        <v>533980424</v>
      </c>
      <c r="E76" s="33">
        <v>0.747</v>
      </c>
    </row>
    <row r="77" spans="1:5" x14ac:dyDescent="0.25">
      <c r="A77" t="s">
        <v>180</v>
      </c>
      <c r="B77" t="s">
        <v>181</v>
      </c>
      <c r="C77" t="s">
        <v>8</v>
      </c>
      <c r="D77" s="32">
        <v>1071443332</v>
      </c>
      <c r="E77" s="33">
        <v>1.0580000000000001</v>
      </c>
    </row>
    <row r="78" spans="1:5" x14ac:dyDescent="0.25">
      <c r="A78" t="s">
        <v>182</v>
      </c>
      <c r="B78" t="s">
        <v>183</v>
      </c>
      <c r="C78" t="s">
        <v>43</v>
      </c>
      <c r="D78" s="32">
        <v>515117999</v>
      </c>
      <c r="E78" s="33">
        <v>0.11799999999999999</v>
      </c>
    </row>
    <row r="79" spans="1:5" x14ac:dyDescent="0.25">
      <c r="A79" t="s">
        <v>185</v>
      </c>
      <c r="B79" t="s">
        <v>186</v>
      </c>
      <c r="C79" t="s">
        <v>8</v>
      </c>
      <c r="D79" s="32">
        <v>3688870616</v>
      </c>
      <c r="E79" s="33">
        <v>12.034000000000001</v>
      </c>
    </row>
    <row r="80" spans="1:5" x14ac:dyDescent="0.25">
      <c r="A80" t="s">
        <v>216</v>
      </c>
      <c r="B80" t="s">
        <v>217</v>
      </c>
      <c r="C80" t="s">
        <v>8</v>
      </c>
      <c r="D80" s="32">
        <v>390902974</v>
      </c>
      <c r="E80" s="33">
        <v>6.4000000000000001E-2</v>
      </c>
    </row>
    <row r="81" spans="1:5" x14ac:dyDescent="0.25">
      <c r="A81" t="s">
        <v>218</v>
      </c>
      <c r="B81" t="s">
        <v>219</v>
      </c>
      <c r="C81" t="s">
        <v>8</v>
      </c>
      <c r="D81" s="32">
        <v>1192531648</v>
      </c>
      <c r="E81" s="33">
        <v>1.38</v>
      </c>
    </row>
    <row r="82" spans="1:5" x14ac:dyDescent="0.25">
      <c r="A82" t="s">
        <v>228</v>
      </c>
      <c r="B82" t="s">
        <v>229</v>
      </c>
      <c r="C82" t="s">
        <v>8</v>
      </c>
      <c r="D82" s="32">
        <v>123177361</v>
      </c>
      <c r="E82" s="33">
        <v>0.13300000000000001</v>
      </c>
    </row>
    <row r="83" spans="1:5" x14ac:dyDescent="0.25">
      <c r="A83" t="s">
        <v>189</v>
      </c>
      <c r="B83" t="s">
        <v>190</v>
      </c>
      <c r="C83" t="s">
        <v>2</v>
      </c>
      <c r="D83" s="32">
        <v>738065812</v>
      </c>
      <c r="E83" s="33">
        <v>1.0900000000000001</v>
      </c>
    </row>
    <row r="84" spans="1:5" x14ac:dyDescent="0.25">
      <c r="A84" t="s">
        <v>191</v>
      </c>
      <c r="B84" t="s">
        <v>192</v>
      </c>
      <c r="C84" t="s">
        <v>8</v>
      </c>
      <c r="D84" s="32">
        <v>1485954732</v>
      </c>
      <c r="E84" s="33">
        <v>2.8839999999999999</v>
      </c>
    </row>
    <row r="85" spans="1:5" x14ac:dyDescent="0.25">
      <c r="A85" t="s">
        <v>193</v>
      </c>
      <c r="B85" t="s">
        <v>194</v>
      </c>
      <c r="C85" t="s">
        <v>8</v>
      </c>
      <c r="D85" s="32">
        <v>261365845</v>
      </c>
      <c r="E85" s="33">
        <v>0.126</v>
      </c>
    </row>
  </sheetData>
  <sortState xmlns:xlrd2="http://schemas.microsoft.com/office/spreadsheetml/2017/richdata2" ref="A1:E85">
    <sortCondition ref="A1:A85"/>
  </sortState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CE737-C4DC-4EF7-821D-5A7F274E11DF}">
  <dimension ref="A1:O86"/>
  <sheetViews>
    <sheetView workbookViewId="0">
      <selection sqref="A1:A30"/>
    </sheetView>
  </sheetViews>
  <sheetFormatPr defaultRowHeight="15" x14ac:dyDescent="0.25"/>
  <cols>
    <col min="1" max="6" width="17.140625" customWidth="1"/>
    <col min="7" max="7" width="6.5703125" customWidth="1"/>
    <col min="8" max="8" width="6.140625" customWidth="1"/>
    <col min="9" max="9" width="7.140625" customWidth="1"/>
    <col min="10" max="10" width="13" customWidth="1"/>
  </cols>
  <sheetData>
    <row r="1" spans="1:12" x14ac:dyDescent="0.25">
      <c r="A1" t="s">
        <v>185</v>
      </c>
      <c r="B1" t="s">
        <v>185</v>
      </c>
      <c r="C1" t="s">
        <v>185</v>
      </c>
      <c r="D1" t="s">
        <v>185</v>
      </c>
      <c r="E1" s="33">
        <v>11.423</v>
      </c>
      <c r="F1" s="33">
        <v>12.034000000000001</v>
      </c>
      <c r="L1" t="s">
        <v>560</v>
      </c>
    </row>
    <row r="2" spans="1:12" x14ac:dyDescent="0.25">
      <c r="A2" t="s">
        <v>118</v>
      </c>
      <c r="B2" t="s">
        <v>118</v>
      </c>
      <c r="C2" t="s">
        <v>118</v>
      </c>
      <c r="E2" s="33">
        <v>8.4209999999999994</v>
      </c>
      <c r="F2" s="33">
        <v>8.9890000000000008</v>
      </c>
      <c r="L2" t="s">
        <v>3</v>
      </c>
    </row>
    <row r="3" spans="1:12" x14ac:dyDescent="0.25">
      <c r="A3" t="s">
        <v>149</v>
      </c>
      <c r="B3" t="s">
        <v>149</v>
      </c>
      <c r="C3" t="s">
        <v>149</v>
      </c>
      <c r="D3" t="s">
        <v>149</v>
      </c>
      <c r="E3" s="33">
        <v>5.7949999999999999</v>
      </c>
      <c r="F3" s="33">
        <v>6.0819999999999999</v>
      </c>
      <c r="L3" t="s">
        <v>600</v>
      </c>
    </row>
    <row r="4" spans="1:12" x14ac:dyDescent="0.25">
      <c r="A4" t="s">
        <v>147</v>
      </c>
      <c r="B4" t="s">
        <v>147</v>
      </c>
      <c r="C4" t="s">
        <v>147</v>
      </c>
      <c r="D4" t="s">
        <v>147</v>
      </c>
      <c r="E4" s="33">
        <v>4.0670000000000002</v>
      </c>
      <c r="F4" s="33">
        <v>4.3760000000000003</v>
      </c>
      <c r="L4" t="s">
        <v>563</v>
      </c>
    </row>
    <row r="5" spans="1:12" x14ac:dyDescent="0.25">
      <c r="A5" t="s">
        <v>476</v>
      </c>
      <c r="B5" t="s">
        <v>476</v>
      </c>
      <c r="C5" t="s">
        <v>21</v>
      </c>
      <c r="E5" s="33">
        <v>4.1619999999999999</v>
      </c>
      <c r="F5" s="33">
        <v>4.1959999999999997</v>
      </c>
    </row>
    <row r="6" spans="1:12" x14ac:dyDescent="0.25">
      <c r="A6" t="s">
        <v>21</v>
      </c>
      <c r="B6" t="s">
        <v>21</v>
      </c>
      <c r="C6" t="s">
        <v>79</v>
      </c>
      <c r="D6" t="s">
        <v>21</v>
      </c>
      <c r="E6" s="33">
        <v>3.9769999999999999</v>
      </c>
      <c r="F6" s="33">
        <v>3.9830000000000001</v>
      </c>
    </row>
    <row r="7" spans="1:12" x14ac:dyDescent="0.25">
      <c r="A7" t="s">
        <v>167</v>
      </c>
      <c r="B7" t="s">
        <v>167</v>
      </c>
      <c r="C7" t="s">
        <v>167</v>
      </c>
      <c r="E7" s="33">
        <v>3.5379999999999998</v>
      </c>
      <c r="F7" s="33">
        <v>3.444</v>
      </c>
    </row>
    <row r="8" spans="1:12" x14ac:dyDescent="0.25">
      <c r="A8" t="s">
        <v>14</v>
      </c>
      <c r="B8" t="s">
        <v>14</v>
      </c>
      <c r="C8" t="s">
        <v>14</v>
      </c>
      <c r="E8" s="33">
        <v>2.9860000000000002</v>
      </c>
      <c r="F8" s="33">
        <v>3.254</v>
      </c>
    </row>
    <row r="9" spans="1:12" x14ac:dyDescent="0.25">
      <c r="A9" t="s">
        <v>115</v>
      </c>
      <c r="B9" t="s">
        <v>115</v>
      </c>
      <c r="C9" t="s">
        <v>115</v>
      </c>
      <c r="D9" t="s">
        <v>115</v>
      </c>
      <c r="E9" s="33">
        <v>2.9710000000000001</v>
      </c>
      <c r="F9" s="33">
        <v>3.2429999999999999</v>
      </c>
    </row>
    <row r="10" spans="1:12" x14ac:dyDescent="0.25">
      <c r="A10" t="s">
        <v>31</v>
      </c>
      <c r="B10" t="s">
        <v>31</v>
      </c>
      <c r="C10" t="s">
        <v>31</v>
      </c>
      <c r="E10" s="33">
        <v>3.137</v>
      </c>
      <c r="F10" s="33">
        <v>3.0030000000000001</v>
      </c>
      <c r="J10" t="s">
        <v>16</v>
      </c>
    </row>
    <row r="11" spans="1:12" x14ac:dyDescent="0.25">
      <c r="A11" t="s">
        <v>191</v>
      </c>
      <c r="B11" t="s">
        <v>191</v>
      </c>
      <c r="C11" t="s">
        <v>16</v>
      </c>
      <c r="E11" s="33">
        <v>3.0670000000000002</v>
      </c>
      <c r="F11" s="33">
        <v>2.8839999999999999</v>
      </c>
      <c r="J11" t="s">
        <v>18</v>
      </c>
    </row>
    <row r="12" spans="1:12" x14ac:dyDescent="0.25">
      <c r="A12" t="s">
        <v>16</v>
      </c>
      <c r="B12" t="s">
        <v>16</v>
      </c>
      <c r="C12" t="s">
        <v>191</v>
      </c>
      <c r="D12" t="s">
        <v>16</v>
      </c>
      <c r="E12" s="33">
        <v>2.6360000000000001</v>
      </c>
      <c r="F12" s="33">
        <v>2.5640000000000001</v>
      </c>
      <c r="J12" t="s">
        <v>21</v>
      </c>
    </row>
    <row r="13" spans="1:12" x14ac:dyDescent="0.25">
      <c r="A13" t="s">
        <v>499</v>
      </c>
      <c r="B13" t="s">
        <v>499</v>
      </c>
      <c r="C13" t="s">
        <v>83</v>
      </c>
      <c r="E13" s="33">
        <v>2.7389999999999999</v>
      </c>
      <c r="F13" s="33">
        <v>2.4430000000000001</v>
      </c>
    </row>
    <row r="14" spans="1:12" x14ac:dyDescent="0.25">
      <c r="A14" t="s">
        <v>0</v>
      </c>
      <c r="B14" t="s">
        <v>0</v>
      </c>
      <c r="C14" t="s">
        <v>0</v>
      </c>
      <c r="E14" s="33">
        <v>2.496</v>
      </c>
      <c r="F14" s="33">
        <v>2.4409999999999998</v>
      </c>
      <c r="J14" t="s">
        <v>590</v>
      </c>
    </row>
    <row r="15" spans="1:12" x14ac:dyDescent="0.25">
      <c r="A15" t="s">
        <v>91</v>
      </c>
      <c r="B15" t="s">
        <v>91</v>
      </c>
      <c r="C15" t="s">
        <v>91</v>
      </c>
      <c r="E15" s="33">
        <v>2.0499999999999998</v>
      </c>
      <c r="F15" s="33">
        <v>1.905</v>
      </c>
      <c r="L15" t="s">
        <v>586</v>
      </c>
    </row>
    <row r="16" spans="1:12" x14ac:dyDescent="0.25">
      <c r="A16" t="s">
        <v>162</v>
      </c>
      <c r="B16" t="s">
        <v>162</v>
      </c>
      <c r="C16" t="s">
        <v>160</v>
      </c>
      <c r="E16" s="33">
        <v>1.8160000000000001</v>
      </c>
      <c r="F16" s="33">
        <v>1.8089999999999999</v>
      </c>
      <c r="J16" t="s">
        <v>35</v>
      </c>
      <c r="L16" t="s">
        <v>615</v>
      </c>
    </row>
    <row r="17" spans="1:15" x14ac:dyDescent="0.25">
      <c r="A17" t="s">
        <v>160</v>
      </c>
      <c r="B17" t="s">
        <v>160</v>
      </c>
      <c r="C17" t="s">
        <v>162</v>
      </c>
      <c r="E17" s="33">
        <v>1.89</v>
      </c>
      <c r="F17" s="33">
        <v>1.6659999999999999</v>
      </c>
      <c r="L17" t="s">
        <v>577</v>
      </c>
    </row>
    <row r="18" spans="1:15" x14ac:dyDescent="0.25">
      <c r="A18" t="s">
        <v>152</v>
      </c>
      <c r="B18" t="s">
        <v>152</v>
      </c>
      <c r="C18" t="s">
        <v>171</v>
      </c>
      <c r="E18" s="33">
        <v>1.361</v>
      </c>
      <c r="F18" s="33">
        <v>1.4790000000000001</v>
      </c>
      <c r="L18" t="s">
        <v>568</v>
      </c>
    </row>
    <row r="19" spans="1:15" x14ac:dyDescent="0.25">
      <c r="A19" t="s">
        <v>87</v>
      </c>
      <c r="B19" t="s">
        <v>87</v>
      </c>
      <c r="C19" t="s">
        <v>152</v>
      </c>
      <c r="E19" s="33">
        <v>1.6379999999999999</v>
      </c>
      <c r="F19" s="33">
        <v>1.4</v>
      </c>
      <c r="L19" t="s">
        <v>573</v>
      </c>
      <c r="M19" t="s">
        <v>589</v>
      </c>
    </row>
    <row r="20" spans="1:15" x14ac:dyDescent="0.25">
      <c r="A20" t="s">
        <v>218</v>
      </c>
      <c r="B20" t="s">
        <v>218</v>
      </c>
      <c r="C20" t="s">
        <v>87</v>
      </c>
      <c r="E20" s="33">
        <v>1.3140000000000001</v>
      </c>
      <c r="F20" s="33">
        <v>1.38</v>
      </c>
      <c r="J20" t="s">
        <v>52</v>
      </c>
      <c r="L20" t="s">
        <v>601</v>
      </c>
      <c r="M20" t="s">
        <v>578</v>
      </c>
    </row>
    <row r="21" spans="1:15" x14ac:dyDescent="0.25">
      <c r="A21" t="s">
        <v>171</v>
      </c>
      <c r="B21" t="s">
        <v>171</v>
      </c>
      <c r="C21" t="s">
        <v>218</v>
      </c>
      <c r="E21" s="33">
        <v>1.36</v>
      </c>
      <c r="F21" s="33">
        <v>1.286</v>
      </c>
      <c r="M21" t="s">
        <v>603</v>
      </c>
    </row>
    <row r="22" spans="1:15" x14ac:dyDescent="0.25">
      <c r="A22" t="s">
        <v>156</v>
      </c>
      <c r="B22" t="s">
        <v>156</v>
      </c>
      <c r="C22" t="s">
        <v>189</v>
      </c>
      <c r="E22" s="33">
        <v>1.329</v>
      </c>
      <c r="F22" s="33">
        <v>1.282</v>
      </c>
      <c r="M22" t="s">
        <v>580</v>
      </c>
    </row>
    <row r="23" spans="1:15" x14ac:dyDescent="0.25">
      <c r="A23" t="s">
        <v>481</v>
      </c>
      <c r="B23" t="s">
        <v>481</v>
      </c>
      <c r="C23" t="s">
        <v>156</v>
      </c>
      <c r="E23" s="33">
        <v>1.196</v>
      </c>
      <c r="F23" s="33">
        <v>1.2150000000000001</v>
      </c>
      <c r="M23" t="s">
        <v>566</v>
      </c>
    </row>
    <row r="24" spans="1:15" x14ac:dyDescent="0.25">
      <c r="A24" t="s">
        <v>189</v>
      </c>
      <c r="B24" t="s">
        <v>189</v>
      </c>
      <c r="C24" t="s">
        <v>178</v>
      </c>
      <c r="E24" s="33">
        <v>1.034</v>
      </c>
      <c r="F24" s="33">
        <v>1.0900000000000001</v>
      </c>
      <c r="J24" t="s">
        <v>492</v>
      </c>
      <c r="M24" t="s">
        <v>565</v>
      </c>
    </row>
    <row r="25" spans="1:15" x14ac:dyDescent="0.25">
      <c r="A25" t="s">
        <v>180</v>
      </c>
      <c r="B25" t="s">
        <v>180</v>
      </c>
      <c r="C25" t="s">
        <v>97</v>
      </c>
      <c r="E25" s="33">
        <v>0.96099999999999997</v>
      </c>
      <c r="F25" s="33">
        <v>1.0580000000000001</v>
      </c>
      <c r="M25" t="s">
        <v>612</v>
      </c>
    </row>
    <row r="26" spans="1:15" x14ac:dyDescent="0.25">
      <c r="A26" t="s">
        <v>97</v>
      </c>
      <c r="B26" t="s">
        <v>97</v>
      </c>
      <c r="C26" t="s">
        <v>52</v>
      </c>
      <c r="E26" s="33">
        <v>1.109</v>
      </c>
      <c r="F26" s="33">
        <v>1.036</v>
      </c>
      <c r="M26" t="s">
        <v>613</v>
      </c>
    </row>
    <row r="27" spans="1:15" x14ac:dyDescent="0.25">
      <c r="A27" t="s">
        <v>18</v>
      </c>
      <c r="B27" t="s">
        <v>18</v>
      </c>
      <c r="C27" t="s">
        <v>18</v>
      </c>
      <c r="D27" t="s">
        <v>18</v>
      </c>
      <c r="E27" s="33">
        <v>0.98099999999999998</v>
      </c>
      <c r="F27" s="33">
        <v>0.98799999999999999</v>
      </c>
      <c r="M27" t="s">
        <v>608</v>
      </c>
      <c r="N27" t="s">
        <v>587</v>
      </c>
      <c r="O27" t="s">
        <v>67</v>
      </c>
    </row>
    <row r="28" spans="1:15" x14ac:dyDescent="0.25">
      <c r="A28" t="s">
        <v>492</v>
      </c>
      <c r="B28" t="s">
        <v>492</v>
      </c>
      <c r="C28" t="s">
        <v>60</v>
      </c>
      <c r="D28" t="s">
        <v>492</v>
      </c>
      <c r="E28" s="33">
        <v>0.88800000000000001</v>
      </c>
      <c r="F28" s="33">
        <v>0.877</v>
      </c>
      <c r="N28" t="s">
        <v>592</v>
      </c>
      <c r="O28" t="s">
        <v>610</v>
      </c>
    </row>
    <row r="29" spans="1:15" x14ac:dyDescent="0.25">
      <c r="A29" t="s">
        <v>23</v>
      </c>
      <c r="B29" t="s">
        <v>23</v>
      </c>
      <c r="C29" t="s">
        <v>23</v>
      </c>
      <c r="E29" s="33">
        <v>0.94199999999999995</v>
      </c>
      <c r="F29" s="33">
        <v>0.86899999999999999</v>
      </c>
      <c r="O29" t="s">
        <v>582</v>
      </c>
    </row>
    <row r="30" spans="1:15" x14ac:dyDescent="0.25">
      <c r="A30" t="s">
        <v>52</v>
      </c>
      <c r="B30" t="s">
        <v>52</v>
      </c>
      <c r="C30" t="s">
        <v>180</v>
      </c>
      <c r="D30" t="s">
        <v>52</v>
      </c>
      <c r="E30" s="33">
        <v>0.90900000000000003</v>
      </c>
      <c r="F30" s="33">
        <v>0.82199999999999995</v>
      </c>
      <c r="O30" t="s">
        <v>583</v>
      </c>
    </row>
    <row r="31" spans="1:15" x14ac:dyDescent="0.25">
      <c r="A31" t="s">
        <v>176</v>
      </c>
      <c r="B31" t="s">
        <v>176</v>
      </c>
      <c r="E31" s="33">
        <v>0.745</v>
      </c>
      <c r="F31" s="33">
        <v>0.81699999999999995</v>
      </c>
      <c r="O31" t="s">
        <v>588</v>
      </c>
    </row>
    <row r="32" spans="1:15" x14ac:dyDescent="0.25">
      <c r="A32" t="s">
        <v>178</v>
      </c>
      <c r="B32" t="s">
        <v>178</v>
      </c>
      <c r="E32" s="33">
        <v>0.93600000000000005</v>
      </c>
      <c r="F32" s="33">
        <v>0.747</v>
      </c>
      <c r="O32" t="s">
        <v>576</v>
      </c>
    </row>
    <row r="33" spans="1:15" x14ac:dyDescent="0.25">
      <c r="A33" t="s">
        <v>158</v>
      </c>
      <c r="B33" t="s">
        <v>158</v>
      </c>
      <c r="E33" s="33">
        <v>0.77100000000000002</v>
      </c>
      <c r="F33" s="33">
        <v>0.72699999999999998</v>
      </c>
      <c r="O33" t="s">
        <v>559</v>
      </c>
    </row>
    <row r="34" spans="1:15" x14ac:dyDescent="0.25">
      <c r="A34" t="s">
        <v>89</v>
      </c>
      <c r="B34" t="s">
        <v>89</v>
      </c>
      <c r="E34" s="33">
        <v>0.72099999999999997</v>
      </c>
      <c r="F34" s="33">
        <v>0.67600000000000005</v>
      </c>
      <c r="O34" t="s">
        <v>607</v>
      </c>
    </row>
    <row r="35" spans="1:15" x14ac:dyDescent="0.25">
      <c r="A35" t="s">
        <v>271</v>
      </c>
      <c r="B35" t="s">
        <v>271</v>
      </c>
      <c r="E35" s="33">
        <v>0.64100000000000001</v>
      </c>
      <c r="F35" s="33">
        <v>0.622</v>
      </c>
      <c r="O35" t="s">
        <v>611</v>
      </c>
    </row>
    <row r="36" spans="1:15" x14ac:dyDescent="0.25">
      <c r="A36" t="s">
        <v>479</v>
      </c>
      <c r="B36" t="s">
        <v>479</v>
      </c>
      <c r="E36" s="33">
        <v>0.60799999999999998</v>
      </c>
      <c r="F36" s="33">
        <v>0.61699999999999999</v>
      </c>
      <c r="O36" t="s">
        <v>614</v>
      </c>
    </row>
    <row r="37" spans="1:15" x14ac:dyDescent="0.25">
      <c r="A37" t="s">
        <v>124</v>
      </c>
      <c r="B37" t="s">
        <v>124</v>
      </c>
      <c r="E37" s="33">
        <v>0.64700000000000002</v>
      </c>
      <c r="F37" s="33">
        <v>0.60299999999999998</v>
      </c>
      <c r="O37" t="s">
        <v>598</v>
      </c>
    </row>
    <row r="38" spans="1:15" x14ac:dyDescent="0.25">
      <c r="A38" t="s">
        <v>130</v>
      </c>
      <c r="B38" t="s">
        <v>130</v>
      </c>
      <c r="E38" s="33">
        <v>0.56200000000000006</v>
      </c>
      <c r="F38" s="33">
        <v>0.54300000000000004</v>
      </c>
      <c r="O38" t="s">
        <v>101</v>
      </c>
    </row>
    <row r="39" spans="1:15" x14ac:dyDescent="0.25">
      <c r="A39" t="s">
        <v>221</v>
      </c>
      <c r="B39" t="s">
        <v>221</v>
      </c>
      <c r="E39" s="33">
        <v>0.56899999999999995</v>
      </c>
      <c r="F39" s="33">
        <v>0.53200000000000003</v>
      </c>
      <c r="O39" t="s">
        <v>595</v>
      </c>
    </row>
    <row r="40" spans="1:15" x14ac:dyDescent="0.25">
      <c r="A40" t="s">
        <v>518</v>
      </c>
      <c r="B40" t="s">
        <v>518</v>
      </c>
      <c r="E40" s="33">
        <v>0.64500000000000002</v>
      </c>
      <c r="F40" s="33">
        <v>0.53</v>
      </c>
    </row>
    <row r="41" spans="1:15" x14ac:dyDescent="0.25">
      <c r="A41" t="s">
        <v>164</v>
      </c>
      <c r="B41" t="s">
        <v>164</v>
      </c>
      <c r="E41" s="33">
        <v>0.51800000000000002</v>
      </c>
      <c r="F41" s="33">
        <v>0.48399999999999999</v>
      </c>
    </row>
    <row r="42" spans="1:15" x14ac:dyDescent="0.25">
      <c r="A42" t="s">
        <v>77</v>
      </c>
      <c r="B42" t="s">
        <v>77</v>
      </c>
      <c r="E42" s="33">
        <v>0.47599999999999998</v>
      </c>
      <c r="F42" s="33">
        <v>0.45200000000000001</v>
      </c>
    </row>
    <row r="43" spans="1:15" x14ac:dyDescent="0.25">
      <c r="A43" t="s">
        <v>9</v>
      </c>
      <c r="B43" t="s">
        <v>9</v>
      </c>
      <c r="E43" s="33">
        <v>0.41699999999999998</v>
      </c>
      <c r="F43" s="33">
        <v>0.44700000000000001</v>
      </c>
    </row>
    <row r="44" spans="1:15" x14ac:dyDescent="0.25">
      <c r="A44" t="s">
        <v>263</v>
      </c>
      <c r="B44" t="s">
        <v>263</v>
      </c>
      <c r="E44" s="33">
        <v>0.45600000000000002</v>
      </c>
      <c r="F44" s="33">
        <v>0.43099999999999999</v>
      </c>
    </row>
    <row r="45" spans="1:15" x14ac:dyDescent="0.25">
      <c r="A45" t="s">
        <v>65</v>
      </c>
      <c r="B45" t="s">
        <v>65</v>
      </c>
      <c r="E45" s="33">
        <v>0.40500000000000003</v>
      </c>
      <c r="F45" s="33">
        <v>0.41599999999999998</v>
      </c>
      <c r="O45" t="s">
        <v>591</v>
      </c>
    </row>
    <row r="46" spans="1:15" x14ac:dyDescent="0.25">
      <c r="A46" t="s">
        <v>245</v>
      </c>
      <c r="B46" t="s">
        <v>245</v>
      </c>
      <c r="E46" s="33">
        <v>0.41599999999999998</v>
      </c>
      <c r="F46" s="33">
        <v>0.40200000000000002</v>
      </c>
      <c r="J46" t="s">
        <v>115</v>
      </c>
    </row>
    <row r="47" spans="1:15" x14ac:dyDescent="0.25">
      <c r="A47" t="s">
        <v>140</v>
      </c>
      <c r="B47" t="s">
        <v>140</v>
      </c>
      <c r="E47" s="33">
        <v>0.37</v>
      </c>
      <c r="F47" s="33">
        <v>0.39200000000000002</v>
      </c>
      <c r="O47" t="s">
        <v>581</v>
      </c>
    </row>
    <row r="48" spans="1:15" x14ac:dyDescent="0.25">
      <c r="A48" t="s">
        <v>489</v>
      </c>
      <c r="B48" t="s">
        <v>489</v>
      </c>
      <c r="E48" s="33">
        <v>0.35099999999999998</v>
      </c>
      <c r="F48" s="33">
        <v>0.39</v>
      </c>
      <c r="O48" t="s">
        <v>570</v>
      </c>
    </row>
    <row r="49" spans="1:15" x14ac:dyDescent="0.25">
      <c r="A49" t="s">
        <v>288</v>
      </c>
      <c r="B49" t="s">
        <v>288</v>
      </c>
      <c r="E49" s="33">
        <v>0.46</v>
      </c>
      <c r="F49" s="33">
        <v>0.36899999999999999</v>
      </c>
      <c r="O49" t="s">
        <v>564</v>
      </c>
    </row>
    <row r="50" spans="1:15" x14ac:dyDescent="0.25">
      <c r="A50" t="s">
        <v>173</v>
      </c>
      <c r="B50" t="s">
        <v>173</v>
      </c>
      <c r="E50" s="33">
        <v>0.39200000000000002</v>
      </c>
      <c r="F50" s="33">
        <v>0.35199999999999998</v>
      </c>
      <c r="O50" t="s">
        <v>558</v>
      </c>
    </row>
    <row r="51" spans="1:15" x14ac:dyDescent="0.25">
      <c r="A51" t="s">
        <v>199</v>
      </c>
      <c r="B51" t="s">
        <v>199</v>
      </c>
      <c r="E51" s="33">
        <v>0.36799999999999999</v>
      </c>
      <c r="F51" s="33">
        <v>0.35099999999999998</v>
      </c>
      <c r="O51" t="s">
        <v>569</v>
      </c>
    </row>
    <row r="52" spans="1:15" x14ac:dyDescent="0.25">
      <c r="A52" t="s">
        <v>279</v>
      </c>
      <c r="B52" t="s">
        <v>279</v>
      </c>
      <c r="E52" s="33">
        <v>0.373</v>
      </c>
      <c r="F52" s="33">
        <v>0.34799999999999998</v>
      </c>
      <c r="O52" t="s">
        <v>572</v>
      </c>
    </row>
    <row r="53" spans="1:15" x14ac:dyDescent="0.25">
      <c r="A53" t="s">
        <v>56</v>
      </c>
      <c r="B53" t="s">
        <v>56</v>
      </c>
      <c r="E53" s="33">
        <v>0.432</v>
      </c>
      <c r="F53" s="33">
        <v>0.34100000000000003</v>
      </c>
    </row>
    <row r="54" spans="1:15" x14ac:dyDescent="0.25">
      <c r="A54" t="s">
        <v>101</v>
      </c>
      <c r="B54" t="s">
        <v>101</v>
      </c>
      <c r="E54" s="33">
        <v>0.317</v>
      </c>
      <c r="F54" s="33">
        <v>0.308</v>
      </c>
    </row>
    <row r="55" spans="1:15" x14ac:dyDescent="0.25">
      <c r="A55" t="s">
        <v>242</v>
      </c>
      <c r="B55" t="s">
        <v>242</v>
      </c>
      <c r="E55" s="33">
        <v>0.33</v>
      </c>
      <c r="F55" s="33">
        <v>0.30399999999999999</v>
      </c>
    </row>
    <row r="56" spans="1:15" x14ac:dyDescent="0.25">
      <c r="A56" t="s">
        <v>71</v>
      </c>
      <c r="B56" t="s">
        <v>71</v>
      </c>
      <c r="E56" s="33">
        <v>0.26200000000000001</v>
      </c>
      <c r="F56" s="33">
        <v>0.28999999999999998</v>
      </c>
    </row>
    <row r="57" spans="1:15" x14ac:dyDescent="0.25">
      <c r="A57" t="s">
        <v>273</v>
      </c>
      <c r="B57" t="s">
        <v>273</v>
      </c>
      <c r="E57" s="33">
        <v>0.25800000000000001</v>
      </c>
      <c r="F57" s="33">
        <v>0.28999999999999998</v>
      </c>
      <c r="J57" t="s">
        <v>147</v>
      </c>
    </row>
    <row r="58" spans="1:15" x14ac:dyDescent="0.25">
      <c r="A58" t="s">
        <v>109</v>
      </c>
      <c r="B58" t="s">
        <v>109</v>
      </c>
      <c r="E58" s="33">
        <v>0.29499999999999998</v>
      </c>
      <c r="F58" s="33">
        <v>0.28199999999999997</v>
      </c>
      <c r="J58" t="s">
        <v>149</v>
      </c>
    </row>
    <row r="59" spans="1:15" x14ac:dyDescent="0.25">
      <c r="A59" t="s">
        <v>95</v>
      </c>
      <c r="B59" t="s">
        <v>95</v>
      </c>
      <c r="E59" s="33">
        <v>0.28399999999999997</v>
      </c>
      <c r="F59" s="33">
        <v>0.27800000000000002</v>
      </c>
      <c r="O59" t="s">
        <v>596</v>
      </c>
    </row>
    <row r="60" spans="1:15" x14ac:dyDescent="0.25">
      <c r="A60" t="s">
        <v>67</v>
      </c>
      <c r="B60" t="s">
        <v>67</v>
      </c>
      <c r="E60" s="33">
        <v>0.27100000000000002</v>
      </c>
      <c r="F60" s="33">
        <v>0.254</v>
      </c>
      <c r="O60" t="s">
        <v>594</v>
      </c>
    </row>
    <row r="61" spans="1:15" x14ac:dyDescent="0.25">
      <c r="A61" t="s">
        <v>54</v>
      </c>
      <c r="B61" t="s">
        <v>54</v>
      </c>
      <c r="E61" s="33">
        <v>0.25600000000000001</v>
      </c>
      <c r="F61" s="33">
        <v>0.253</v>
      </c>
      <c r="O61" t="s">
        <v>585</v>
      </c>
    </row>
    <row r="62" spans="1:15" x14ac:dyDescent="0.25">
      <c r="A62" t="s">
        <v>252</v>
      </c>
      <c r="B62" t="s">
        <v>252</v>
      </c>
      <c r="E62" s="33">
        <v>0.217</v>
      </c>
      <c r="F62" s="33">
        <v>0.22800000000000001</v>
      </c>
      <c r="O62" t="s">
        <v>593</v>
      </c>
    </row>
    <row r="63" spans="1:15" x14ac:dyDescent="0.25">
      <c r="A63" t="s">
        <v>35</v>
      </c>
      <c r="B63" t="s">
        <v>35</v>
      </c>
      <c r="D63" t="s">
        <v>35</v>
      </c>
      <c r="E63" s="33">
        <v>0.216</v>
      </c>
      <c r="F63" s="33">
        <v>0.22700000000000001</v>
      </c>
      <c r="O63" t="s">
        <v>571</v>
      </c>
    </row>
    <row r="64" spans="1:15" x14ac:dyDescent="0.25">
      <c r="A64" t="s">
        <v>201</v>
      </c>
      <c r="B64" t="s">
        <v>201</v>
      </c>
      <c r="E64" s="33">
        <v>0.22900000000000001</v>
      </c>
      <c r="F64" s="33">
        <v>0.224</v>
      </c>
      <c r="O64" t="s">
        <v>606</v>
      </c>
    </row>
    <row r="65" spans="1:15" x14ac:dyDescent="0.25">
      <c r="A65" t="s">
        <v>255</v>
      </c>
      <c r="B65" t="s">
        <v>255</v>
      </c>
      <c r="E65" s="33">
        <v>0.19</v>
      </c>
      <c r="F65" s="33">
        <v>0.187</v>
      </c>
      <c r="O65" t="s">
        <v>561</v>
      </c>
    </row>
    <row r="66" spans="1:15" x14ac:dyDescent="0.25">
      <c r="A66" t="s">
        <v>113</v>
      </c>
      <c r="B66" t="s">
        <v>113</v>
      </c>
      <c r="E66" s="33">
        <v>0.183</v>
      </c>
      <c r="F66" s="33">
        <v>0.17799999999999999</v>
      </c>
      <c r="O66" t="s">
        <v>167</v>
      </c>
    </row>
    <row r="67" spans="1:15" x14ac:dyDescent="0.25">
      <c r="A67" t="s">
        <v>268</v>
      </c>
      <c r="B67" t="s">
        <v>268</v>
      </c>
      <c r="E67" s="33">
        <v>0.183</v>
      </c>
      <c r="F67" s="33">
        <v>0.17100000000000001</v>
      </c>
      <c r="O67" t="s">
        <v>574</v>
      </c>
    </row>
    <row r="68" spans="1:15" x14ac:dyDescent="0.25">
      <c r="A68" t="s">
        <v>134</v>
      </c>
      <c r="B68" t="s">
        <v>134</v>
      </c>
      <c r="E68" s="33">
        <v>0.14099999999999999</v>
      </c>
      <c r="F68" s="33">
        <v>0.15</v>
      </c>
      <c r="O68" t="s">
        <v>579</v>
      </c>
    </row>
    <row r="69" spans="1:15" x14ac:dyDescent="0.25">
      <c r="A69" t="s">
        <v>231</v>
      </c>
      <c r="B69" t="s">
        <v>231</v>
      </c>
      <c r="E69" s="33">
        <v>0.158</v>
      </c>
      <c r="F69" s="33">
        <v>0.13500000000000001</v>
      </c>
      <c r="O69" t="s">
        <v>602</v>
      </c>
    </row>
    <row r="70" spans="1:15" x14ac:dyDescent="0.25">
      <c r="A70" t="s">
        <v>138</v>
      </c>
      <c r="B70" t="s">
        <v>138</v>
      </c>
      <c r="E70" s="33">
        <v>0.124</v>
      </c>
      <c r="F70" s="33">
        <v>0.13400000000000001</v>
      </c>
      <c r="O70" t="s">
        <v>575</v>
      </c>
    </row>
    <row r="71" spans="1:15" x14ac:dyDescent="0.25">
      <c r="A71" t="s">
        <v>228</v>
      </c>
      <c r="B71" t="s">
        <v>228</v>
      </c>
      <c r="E71" s="33">
        <v>0.17</v>
      </c>
      <c r="F71" s="33">
        <v>0.13300000000000001</v>
      </c>
      <c r="O71" t="s">
        <v>599</v>
      </c>
    </row>
    <row r="72" spans="1:15" x14ac:dyDescent="0.25">
      <c r="A72" t="s">
        <v>210</v>
      </c>
      <c r="B72" t="s">
        <v>210</v>
      </c>
      <c r="E72" s="33">
        <v>0.14099999999999999</v>
      </c>
      <c r="F72" s="33">
        <v>0.129</v>
      </c>
      <c r="O72" t="s">
        <v>597</v>
      </c>
    </row>
    <row r="73" spans="1:15" x14ac:dyDescent="0.25">
      <c r="A73" t="s">
        <v>193</v>
      </c>
      <c r="B73" t="s">
        <v>193</v>
      </c>
      <c r="E73" s="33">
        <v>0.13600000000000001</v>
      </c>
      <c r="F73" s="33">
        <v>0.126</v>
      </c>
      <c r="O73" t="s">
        <v>562</v>
      </c>
    </row>
    <row r="74" spans="1:15" x14ac:dyDescent="0.25">
      <c r="A74" t="s">
        <v>234</v>
      </c>
      <c r="B74" t="s">
        <v>234</v>
      </c>
      <c r="E74" s="33">
        <v>0.14399999999999999</v>
      </c>
      <c r="F74" s="33">
        <v>0.123</v>
      </c>
      <c r="O74" t="s">
        <v>605</v>
      </c>
    </row>
    <row r="75" spans="1:15" x14ac:dyDescent="0.25">
      <c r="A75" t="s">
        <v>182</v>
      </c>
      <c r="B75" t="s">
        <v>182</v>
      </c>
      <c r="D75" t="s">
        <v>182</v>
      </c>
      <c r="E75" s="33">
        <v>0.13200000000000001</v>
      </c>
      <c r="F75" s="33">
        <v>0.11799999999999999</v>
      </c>
      <c r="O75" t="s">
        <v>609</v>
      </c>
    </row>
    <row r="76" spans="1:15" x14ac:dyDescent="0.25">
      <c r="A76" t="s">
        <v>105</v>
      </c>
      <c r="B76" t="s">
        <v>105</v>
      </c>
      <c r="E76" s="33">
        <v>0.17899999999999999</v>
      </c>
      <c r="F76" s="33">
        <v>0.11600000000000001</v>
      </c>
      <c r="O76" t="s">
        <v>604</v>
      </c>
    </row>
    <row r="77" spans="1:15" x14ac:dyDescent="0.25">
      <c r="A77" t="s">
        <v>206</v>
      </c>
      <c r="B77" t="s">
        <v>206</v>
      </c>
      <c r="E77" s="33">
        <v>0.129</v>
      </c>
      <c r="F77" s="33">
        <v>0.109</v>
      </c>
      <c r="O77" t="s">
        <v>584</v>
      </c>
    </row>
    <row r="78" spans="1:15" x14ac:dyDescent="0.25">
      <c r="A78" t="s">
        <v>41</v>
      </c>
      <c r="B78" t="s">
        <v>41</v>
      </c>
      <c r="E78" s="33">
        <v>8.7999999999999995E-2</v>
      </c>
      <c r="F78" s="33">
        <v>0.104</v>
      </c>
      <c r="J78" t="s">
        <v>182</v>
      </c>
      <c r="O78" t="s">
        <v>567</v>
      </c>
    </row>
    <row r="79" spans="1:15" x14ac:dyDescent="0.25">
      <c r="A79" t="s">
        <v>248</v>
      </c>
      <c r="B79" t="s">
        <v>248</v>
      </c>
      <c r="E79" s="33">
        <v>0.109</v>
      </c>
      <c r="F79" s="33">
        <v>9.6000000000000002E-2</v>
      </c>
      <c r="J79" t="s">
        <v>185</v>
      </c>
    </row>
    <row r="80" spans="1:15" x14ac:dyDescent="0.25">
      <c r="A80" t="s">
        <v>25</v>
      </c>
      <c r="B80" t="s">
        <v>25</v>
      </c>
      <c r="D80" t="s">
        <v>590</v>
      </c>
      <c r="E80" s="33">
        <v>0.10100000000000001</v>
      </c>
      <c r="F80" s="33">
        <v>9.2999999999999999E-2</v>
      </c>
    </row>
    <row r="81" spans="1:6" x14ac:dyDescent="0.25">
      <c r="A81" t="s">
        <v>513</v>
      </c>
      <c r="B81" t="s">
        <v>513</v>
      </c>
      <c r="E81" s="33">
        <v>6.5000000000000002E-2</v>
      </c>
      <c r="F81" s="33">
        <v>6.8000000000000005E-2</v>
      </c>
    </row>
    <row r="82" spans="1:6" x14ac:dyDescent="0.25">
      <c r="A82" t="s">
        <v>216</v>
      </c>
      <c r="B82" t="s">
        <v>216</v>
      </c>
      <c r="E82" s="33">
        <v>5.3999999999999999E-2</v>
      </c>
      <c r="F82" s="33">
        <v>6.4000000000000001E-2</v>
      </c>
    </row>
    <row r="83" spans="1:6" x14ac:dyDescent="0.25">
      <c r="A83" t="s">
        <v>145</v>
      </c>
      <c r="B83" t="s">
        <v>145</v>
      </c>
      <c r="E83" s="33">
        <v>7.2999999999999995E-2</v>
      </c>
      <c r="F83" s="33">
        <v>5.6000000000000001E-2</v>
      </c>
    </row>
    <row r="84" spans="1:6" x14ac:dyDescent="0.25">
      <c r="A84" t="s">
        <v>496</v>
      </c>
      <c r="B84" t="s">
        <v>496</v>
      </c>
      <c r="E84" s="33">
        <v>0.05</v>
      </c>
      <c r="F84" s="33">
        <v>5.1999999999999998E-2</v>
      </c>
    </row>
    <row r="85" spans="1:6" x14ac:dyDescent="0.25">
      <c r="A85" t="s">
        <v>204</v>
      </c>
      <c r="B85" t="s">
        <v>204</v>
      </c>
      <c r="E85" s="33">
        <v>4.1000000000000002E-2</v>
      </c>
      <c r="F85" s="33">
        <v>3.3000000000000002E-2</v>
      </c>
    </row>
    <row r="86" spans="1:6" x14ac:dyDescent="0.25">
      <c r="E86">
        <f>SUM(I9)</f>
        <v>0</v>
      </c>
    </row>
  </sheetData>
  <sortState xmlns:xlrd2="http://schemas.microsoft.com/office/spreadsheetml/2017/richdata2" ref="A1:F106">
    <sortCondition descending="1" ref="F1:F106"/>
  </sortState>
  <phoneticPr fontId="12" type="noConversion"/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615E7-B7DA-4934-9020-697854EC62CB}">
  <dimension ref="A1:G31"/>
  <sheetViews>
    <sheetView workbookViewId="0">
      <selection activeCell="G22" sqref="G22"/>
    </sheetView>
  </sheetViews>
  <sheetFormatPr defaultRowHeight="15" x14ac:dyDescent="0.25"/>
  <cols>
    <col min="1" max="1" width="7.85546875" customWidth="1"/>
    <col min="2" max="2" width="7.28515625" customWidth="1"/>
    <col min="3" max="3" width="7.85546875" customWidth="1"/>
    <col min="4" max="4" width="8" customWidth="1"/>
    <col min="5" max="5" width="8.140625" customWidth="1"/>
    <col min="6" max="6" width="7.42578125" customWidth="1"/>
    <col min="7" max="7" width="9.140625" customWidth="1"/>
    <col min="8" max="12" width="12.85546875" customWidth="1"/>
  </cols>
  <sheetData>
    <row r="1" spans="1:7" x14ac:dyDescent="0.25">
      <c r="A1">
        <v>2026</v>
      </c>
      <c r="C1">
        <v>2025</v>
      </c>
      <c r="E1">
        <v>2024</v>
      </c>
      <c r="G1">
        <v>2023</v>
      </c>
    </row>
    <row r="2" spans="1:7" x14ac:dyDescent="0.25">
      <c r="A2" t="s">
        <v>185</v>
      </c>
      <c r="C2" t="s">
        <v>185</v>
      </c>
      <c r="E2" t="s">
        <v>185</v>
      </c>
      <c r="G2" t="s">
        <v>185</v>
      </c>
    </row>
    <row r="3" spans="1:7" x14ac:dyDescent="0.25">
      <c r="A3" t="s">
        <v>118</v>
      </c>
      <c r="C3" t="s">
        <v>118</v>
      </c>
      <c r="E3" t="s">
        <v>149</v>
      </c>
      <c r="G3" t="s">
        <v>149</v>
      </c>
    </row>
    <row r="4" spans="1:7" x14ac:dyDescent="0.25">
      <c r="A4" t="s">
        <v>149</v>
      </c>
      <c r="C4" t="s">
        <v>149</v>
      </c>
      <c r="E4" t="s">
        <v>118</v>
      </c>
      <c r="G4" t="s">
        <v>118</v>
      </c>
    </row>
    <row r="5" spans="1:7" x14ac:dyDescent="0.25">
      <c r="A5" t="s">
        <v>147</v>
      </c>
      <c r="C5" t="s">
        <v>147</v>
      </c>
      <c r="E5" t="s">
        <v>147</v>
      </c>
      <c r="G5" t="s">
        <v>147</v>
      </c>
    </row>
    <row r="6" spans="1:7" x14ac:dyDescent="0.25">
      <c r="A6" t="s">
        <v>476</v>
      </c>
      <c r="C6" t="s">
        <v>21</v>
      </c>
      <c r="E6" t="s">
        <v>21</v>
      </c>
      <c r="G6" t="s">
        <v>21</v>
      </c>
    </row>
    <row r="7" spans="1:7" x14ac:dyDescent="0.25">
      <c r="A7" t="s">
        <v>21</v>
      </c>
      <c r="C7" s="65" t="s">
        <v>79</v>
      </c>
      <c r="E7" t="s">
        <v>16</v>
      </c>
      <c r="G7" t="s">
        <v>14</v>
      </c>
    </row>
    <row r="8" spans="1:7" x14ac:dyDescent="0.25">
      <c r="A8" t="s">
        <v>167</v>
      </c>
      <c r="C8" t="s">
        <v>167</v>
      </c>
      <c r="E8" s="65" t="s">
        <v>79</v>
      </c>
      <c r="G8" s="65" t="s">
        <v>79</v>
      </c>
    </row>
    <row r="9" spans="1:7" x14ac:dyDescent="0.25">
      <c r="A9" t="s">
        <v>14</v>
      </c>
      <c r="C9" t="s">
        <v>14</v>
      </c>
      <c r="E9" t="s">
        <v>14</v>
      </c>
      <c r="G9" t="s">
        <v>16</v>
      </c>
    </row>
    <row r="10" spans="1:7" x14ac:dyDescent="0.25">
      <c r="A10" t="s">
        <v>115</v>
      </c>
      <c r="C10" t="s">
        <v>115</v>
      </c>
      <c r="E10" t="s">
        <v>191</v>
      </c>
      <c r="G10" t="s">
        <v>0</v>
      </c>
    </row>
    <row r="11" spans="1:7" x14ac:dyDescent="0.25">
      <c r="A11" t="s">
        <v>31</v>
      </c>
      <c r="C11" t="s">
        <v>31</v>
      </c>
      <c r="E11" t="s">
        <v>167</v>
      </c>
      <c r="F11" s="65"/>
      <c r="G11" t="s">
        <v>162</v>
      </c>
    </row>
    <row r="12" spans="1:7" x14ac:dyDescent="0.25">
      <c r="A12" t="s">
        <v>191</v>
      </c>
      <c r="C12" t="s">
        <v>16</v>
      </c>
      <c r="E12" t="s">
        <v>115</v>
      </c>
      <c r="G12" t="s">
        <v>191</v>
      </c>
    </row>
    <row r="13" spans="1:7" x14ac:dyDescent="0.25">
      <c r="A13" t="s">
        <v>16</v>
      </c>
      <c r="C13" t="s">
        <v>191</v>
      </c>
      <c r="E13" t="s">
        <v>0</v>
      </c>
      <c r="G13" t="s">
        <v>115</v>
      </c>
    </row>
    <row r="14" spans="1:7" x14ac:dyDescent="0.25">
      <c r="A14" s="68" t="s">
        <v>499</v>
      </c>
      <c r="C14" s="68" t="s">
        <v>499</v>
      </c>
      <c r="E14" t="s">
        <v>31</v>
      </c>
      <c r="G14" t="s">
        <v>152</v>
      </c>
    </row>
    <row r="15" spans="1:7" x14ac:dyDescent="0.25">
      <c r="A15" t="s">
        <v>0</v>
      </c>
      <c r="C15" t="s">
        <v>0</v>
      </c>
      <c r="E15" t="s">
        <v>91</v>
      </c>
      <c r="G15" t="s">
        <v>31</v>
      </c>
    </row>
    <row r="16" spans="1:7" x14ac:dyDescent="0.25">
      <c r="A16" t="s">
        <v>91</v>
      </c>
      <c r="C16" t="s">
        <v>91</v>
      </c>
      <c r="E16" t="s">
        <v>162</v>
      </c>
      <c r="G16" t="s">
        <v>91</v>
      </c>
    </row>
    <row r="17" spans="1:7" x14ac:dyDescent="0.25">
      <c r="A17" t="s">
        <v>162</v>
      </c>
      <c r="C17" t="s">
        <v>160</v>
      </c>
      <c r="E17" s="65" t="s">
        <v>120</v>
      </c>
      <c r="G17" t="s">
        <v>171</v>
      </c>
    </row>
    <row r="18" spans="1:7" x14ac:dyDescent="0.25">
      <c r="A18" t="s">
        <v>160</v>
      </c>
      <c r="C18" t="s">
        <v>162</v>
      </c>
      <c r="E18" t="s">
        <v>152</v>
      </c>
      <c r="F18" s="65"/>
      <c r="G18" t="s">
        <v>156</v>
      </c>
    </row>
    <row r="19" spans="1:7" x14ac:dyDescent="0.25">
      <c r="A19" t="s">
        <v>152</v>
      </c>
      <c r="C19" s="69" t="s">
        <v>171</v>
      </c>
      <c r="E19" t="s">
        <v>160</v>
      </c>
      <c r="G19" t="s">
        <v>160</v>
      </c>
    </row>
    <row r="20" spans="1:7" x14ac:dyDescent="0.25">
      <c r="A20" t="s">
        <v>87</v>
      </c>
      <c r="C20" t="s">
        <v>152</v>
      </c>
      <c r="E20" t="s">
        <v>156</v>
      </c>
      <c r="G20" s="71" t="s">
        <v>97</v>
      </c>
    </row>
    <row r="21" spans="1:7" x14ac:dyDescent="0.25">
      <c r="A21" s="70" t="s">
        <v>218</v>
      </c>
      <c r="B21" s="66"/>
      <c r="C21" s="66" t="s">
        <v>87</v>
      </c>
      <c r="D21" s="66"/>
      <c r="E21" s="69" t="s">
        <v>171</v>
      </c>
      <c r="F21" s="66"/>
      <c r="G21" s="66" t="s">
        <v>158</v>
      </c>
    </row>
    <row r="22" spans="1:7" x14ac:dyDescent="0.25">
      <c r="A22" s="69" t="s">
        <v>171</v>
      </c>
      <c r="C22" s="70" t="s">
        <v>218</v>
      </c>
      <c r="E22" s="67" t="s">
        <v>499</v>
      </c>
      <c r="G22" s="72" t="s">
        <v>218</v>
      </c>
    </row>
    <row r="23" spans="1:7" x14ac:dyDescent="0.25">
      <c r="A23" t="s">
        <v>156</v>
      </c>
      <c r="C23" t="s">
        <v>189</v>
      </c>
      <c r="E23" t="s">
        <v>158</v>
      </c>
      <c r="G23" s="65" t="s">
        <v>120</v>
      </c>
    </row>
    <row r="24" spans="1:7" x14ac:dyDescent="0.25">
      <c r="A24" t="s">
        <v>481</v>
      </c>
      <c r="C24" t="s">
        <v>156</v>
      </c>
      <c r="E24" s="70" t="s">
        <v>218</v>
      </c>
      <c r="G24" t="s">
        <v>65</v>
      </c>
    </row>
    <row r="25" spans="1:7" x14ac:dyDescent="0.25">
      <c r="A25" t="s">
        <v>189</v>
      </c>
      <c r="C25" t="s">
        <v>178</v>
      </c>
      <c r="E25" t="s">
        <v>180</v>
      </c>
      <c r="G25" t="s">
        <v>23</v>
      </c>
    </row>
    <row r="26" spans="1:7" x14ac:dyDescent="0.25">
      <c r="A26" t="s">
        <v>180</v>
      </c>
      <c r="C26" s="71" t="s">
        <v>97</v>
      </c>
      <c r="E26" t="s">
        <v>23</v>
      </c>
      <c r="G26" t="s">
        <v>180</v>
      </c>
    </row>
    <row r="27" spans="1:7" x14ac:dyDescent="0.25">
      <c r="A27" s="71" t="s">
        <v>97</v>
      </c>
      <c r="C27" t="s">
        <v>52</v>
      </c>
      <c r="E27" s="71" t="s">
        <v>97</v>
      </c>
      <c r="G27" t="s">
        <v>167</v>
      </c>
    </row>
    <row r="28" spans="1:7" x14ac:dyDescent="0.25">
      <c r="A28" t="s">
        <v>18</v>
      </c>
      <c r="C28" t="s">
        <v>18</v>
      </c>
      <c r="E28" t="s">
        <v>52</v>
      </c>
      <c r="G28" t="s">
        <v>18</v>
      </c>
    </row>
    <row r="29" spans="1:7" x14ac:dyDescent="0.25">
      <c r="A29" t="s">
        <v>492</v>
      </c>
      <c r="C29" s="65" t="s">
        <v>60</v>
      </c>
      <c r="E29" t="s">
        <v>39</v>
      </c>
      <c r="G29" t="s">
        <v>105</v>
      </c>
    </row>
    <row r="30" spans="1:7" x14ac:dyDescent="0.25">
      <c r="A30" t="s">
        <v>23</v>
      </c>
      <c r="C30" t="s">
        <v>23</v>
      </c>
      <c r="E30" t="s">
        <v>189</v>
      </c>
      <c r="G30" t="s">
        <v>87</v>
      </c>
    </row>
    <row r="31" spans="1:7" x14ac:dyDescent="0.25">
      <c r="A31" t="s">
        <v>52</v>
      </c>
      <c r="C31" t="s">
        <v>180</v>
      </c>
      <c r="E31" t="s">
        <v>18</v>
      </c>
      <c r="G31" t="s">
        <v>52</v>
      </c>
    </row>
  </sheetData>
  <sortState xmlns:xlrd2="http://schemas.microsoft.com/office/spreadsheetml/2017/richdata2" ref="G2:G33">
    <sortCondition ref="G2:G33"/>
  </sortState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E90F-AEF1-4EE0-AB4B-AED0DC5AF100}">
  <dimension ref="A1:E18"/>
  <sheetViews>
    <sheetView workbookViewId="0">
      <selection activeCell="H20" sqref="H20"/>
    </sheetView>
  </sheetViews>
  <sheetFormatPr defaultRowHeight="12.75" x14ac:dyDescent="0.2"/>
  <cols>
    <col min="1" max="5" width="17.140625" style="11" customWidth="1"/>
    <col min="6" max="16384" width="9.140625" style="11"/>
  </cols>
  <sheetData>
    <row r="1" spans="1:5" x14ac:dyDescent="0.2">
      <c r="D1" s="15" t="s">
        <v>295</v>
      </c>
    </row>
    <row r="2" spans="1:5" ht="13.5" thickBot="1" x14ac:dyDescent="0.25"/>
    <row r="3" spans="1:5" ht="13.5" thickBot="1" x14ac:dyDescent="0.25">
      <c r="A3" s="12" t="s">
        <v>0</v>
      </c>
      <c r="B3" s="12" t="s">
        <v>1</v>
      </c>
      <c r="C3" s="12" t="s">
        <v>2</v>
      </c>
      <c r="D3" s="13" t="s">
        <v>230</v>
      </c>
      <c r="E3" s="14">
        <v>2469</v>
      </c>
    </row>
    <row r="4" spans="1:5" ht="13.5" thickBot="1" x14ac:dyDescent="0.25">
      <c r="A4" s="12" t="s">
        <v>14</v>
      </c>
      <c r="B4" s="12" t="s">
        <v>15</v>
      </c>
      <c r="C4" s="12" t="s">
        <v>8</v>
      </c>
      <c r="D4" s="13" t="s">
        <v>236</v>
      </c>
      <c r="E4" s="14">
        <v>3131</v>
      </c>
    </row>
    <row r="5" spans="1:5" ht="13.5" thickBot="1" x14ac:dyDescent="0.25">
      <c r="A5" s="12" t="s">
        <v>21</v>
      </c>
      <c r="B5" s="12" t="s">
        <v>19</v>
      </c>
      <c r="C5" s="12" t="s">
        <v>5</v>
      </c>
      <c r="D5" s="13" t="s">
        <v>239</v>
      </c>
      <c r="E5" s="14">
        <v>3990</v>
      </c>
    </row>
    <row r="6" spans="1:5" ht="13.5" thickBot="1" x14ac:dyDescent="0.25">
      <c r="A6" s="12" t="s">
        <v>16</v>
      </c>
      <c r="B6" s="12" t="s">
        <v>17</v>
      </c>
      <c r="C6" s="12" t="s">
        <v>8</v>
      </c>
      <c r="D6" s="13" t="s">
        <v>240</v>
      </c>
      <c r="E6" s="14">
        <v>2789</v>
      </c>
    </row>
    <row r="7" spans="1:5" ht="13.5" thickBot="1" x14ac:dyDescent="0.25">
      <c r="A7" s="12" t="s">
        <v>31</v>
      </c>
      <c r="B7" s="12" t="s">
        <v>32</v>
      </c>
      <c r="C7" s="12" t="s">
        <v>29</v>
      </c>
      <c r="D7" s="13" t="s">
        <v>244</v>
      </c>
      <c r="E7" s="14">
        <v>2941</v>
      </c>
    </row>
    <row r="8" spans="1:5" ht="13.5" thickBot="1" x14ac:dyDescent="0.25">
      <c r="A8" s="12" t="s">
        <v>79</v>
      </c>
      <c r="B8" s="12" t="s">
        <v>80</v>
      </c>
      <c r="C8" s="12" t="s">
        <v>81</v>
      </c>
      <c r="D8" s="13" t="s">
        <v>258</v>
      </c>
      <c r="E8" s="14">
        <v>3769</v>
      </c>
    </row>
    <row r="9" spans="1:5" ht="13.5" thickBot="1" x14ac:dyDescent="0.25">
      <c r="A9" s="12" t="s">
        <v>83</v>
      </c>
      <c r="B9" s="12" t="s">
        <v>84</v>
      </c>
      <c r="C9" s="12" t="s">
        <v>8</v>
      </c>
      <c r="D9" s="13" t="s">
        <v>259</v>
      </c>
      <c r="E9" s="14">
        <v>2637</v>
      </c>
    </row>
    <row r="10" spans="1:5" ht="13.5" thickBot="1" x14ac:dyDescent="0.25">
      <c r="A10" s="12" t="s">
        <v>91</v>
      </c>
      <c r="B10" s="12" t="s">
        <v>92</v>
      </c>
      <c r="C10" s="12" t="s">
        <v>8</v>
      </c>
      <c r="D10" s="13" t="s">
        <v>260</v>
      </c>
      <c r="E10" s="14">
        <v>2149</v>
      </c>
    </row>
    <row r="11" spans="1:5" ht="13.5" thickBot="1" x14ac:dyDescent="0.25">
      <c r="A11" s="12" t="s">
        <v>115</v>
      </c>
      <c r="B11" s="12" t="s">
        <v>116</v>
      </c>
      <c r="C11" s="12" t="s">
        <v>22</v>
      </c>
      <c r="D11" s="13" t="s">
        <v>265</v>
      </c>
      <c r="E11" s="14">
        <v>3073</v>
      </c>
    </row>
    <row r="12" spans="1:5" ht="13.5" thickBot="1" x14ac:dyDescent="0.25">
      <c r="A12" s="12" t="s">
        <v>118</v>
      </c>
      <c r="B12" s="12" t="s">
        <v>119</v>
      </c>
      <c r="C12" s="12" t="s">
        <v>22</v>
      </c>
      <c r="D12" s="13" t="s">
        <v>266</v>
      </c>
      <c r="E12" s="14">
        <v>8239</v>
      </c>
    </row>
    <row r="13" spans="1:5" ht="13.5" thickBot="1" x14ac:dyDescent="0.25">
      <c r="A13" s="12" t="s">
        <v>147</v>
      </c>
      <c r="B13" s="12" t="s">
        <v>148</v>
      </c>
      <c r="C13" s="12" t="s">
        <v>276</v>
      </c>
      <c r="D13" s="13" t="s">
        <v>277</v>
      </c>
      <c r="E13" s="14">
        <v>4158</v>
      </c>
    </row>
    <row r="14" spans="1:5" ht="13.5" thickBot="1" x14ac:dyDescent="0.25">
      <c r="A14" s="12" t="s">
        <v>149</v>
      </c>
      <c r="B14" s="12" t="s">
        <v>148</v>
      </c>
      <c r="C14" s="12" t="s">
        <v>270</v>
      </c>
      <c r="D14" s="13" t="s">
        <v>278</v>
      </c>
      <c r="E14" s="14">
        <v>6431</v>
      </c>
    </row>
    <row r="15" spans="1:5" ht="13.5" thickBot="1" x14ac:dyDescent="0.25">
      <c r="A15" s="12" t="s">
        <v>167</v>
      </c>
      <c r="B15" s="12" t="s">
        <v>168</v>
      </c>
      <c r="C15" s="12" t="s">
        <v>8</v>
      </c>
      <c r="D15" s="13" t="s">
        <v>283</v>
      </c>
      <c r="E15" s="14">
        <v>3405</v>
      </c>
    </row>
    <row r="16" spans="1:5" ht="13.5" thickBot="1" x14ac:dyDescent="0.25">
      <c r="A16" s="12" t="s">
        <v>185</v>
      </c>
      <c r="B16" s="12" t="s">
        <v>186</v>
      </c>
      <c r="C16" s="12" t="s">
        <v>8</v>
      </c>
      <c r="D16" s="13" t="s">
        <v>293</v>
      </c>
      <c r="E16" s="14">
        <v>11240</v>
      </c>
    </row>
    <row r="17" spans="1:5" ht="13.5" thickBot="1" x14ac:dyDescent="0.25">
      <c r="A17" s="12" t="s">
        <v>191</v>
      </c>
      <c r="B17" s="12" t="s">
        <v>192</v>
      </c>
      <c r="C17" s="12" t="s">
        <v>8</v>
      </c>
      <c r="D17" s="13" t="s">
        <v>294</v>
      </c>
      <c r="E17" s="14">
        <v>2667</v>
      </c>
    </row>
    <row r="18" spans="1:5" ht="13.5" thickBot="1" x14ac:dyDescent="0.25">
      <c r="A18" s="12"/>
      <c r="B18" s="12"/>
      <c r="C18" s="12"/>
      <c r="D18" s="13"/>
      <c r="E18" s="20">
        <v>63088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54AD-F15E-4023-980E-14914FFE297A}">
  <dimension ref="A1:A73"/>
  <sheetViews>
    <sheetView workbookViewId="0">
      <selection activeCell="C82" sqref="C82"/>
    </sheetView>
  </sheetViews>
  <sheetFormatPr defaultRowHeight="15" x14ac:dyDescent="0.25"/>
  <cols>
    <col min="1" max="2" width="13.7109375" customWidth="1"/>
  </cols>
  <sheetData>
    <row r="1" spans="1:1" x14ac:dyDescent="0.25">
      <c r="A1" t="s">
        <v>560</v>
      </c>
    </row>
    <row r="2" spans="1:1" x14ac:dyDescent="0.25">
      <c r="A2" t="s">
        <v>3</v>
      </c>
    </row>
    <row r="3" spans="1:1" x14ac:dyDescent="0.25">
      <c r="A3" t="s">
        <v>600</v>
      </c>
    </row>
    <row r="4" spans="1:1" x14ac:dyDescent="0.25">
      <c r="A4" t="s">
        <v>563</v>
      </c>
    </row>
    <row r="5" spans="1:1" x14ac:dyDescent="0.25">
      <c r="A5" t="s">
        <v>16</v>
      </c>
    </row>
    <row r="6" spans="1:1" x14ac:dyDescent="0.25">
      <c r="A6" t="s">
        <v>18</v>
      </c>
    </row>
    <row r="7" spans="1:1" x14ac:dyDescent="0.25">
      <c r="A7" t="s">
        <v>21</v>
      </c>
    </row>
    <row r="8" spans="1:1" x14ac:dyDescent="0.25">
      <c r="A8" t="s">
        <v>590</v>
      </c>
    </row>
    <row r="9" spans="1:1" x14ac:dyDescent="0.25">
      <c r="A9" t="s">
        <v>586</v>
      </c>
    </row>
    <row r="10" spans="1:1" x14ac:dyDescent="0.25">
      <c r="A10" t="s">
        <v>615</v>
      </c>
    </row>
    <row r="11" spans="1:1" x14ac:dyDescent="0.25">
      <c r="A11" t="s">
        <v>577</v>
      </c>
    </row>
    <row r="12" spans="1:1" x14ac:dyDescent="0.25">
      <c r="A12" t="s">
        <v>568</v>
      </c>
    </row>
    <row r="13" spans="1:1" x14ac:dyDescent="0.25">
      <c r="A13" t="s">
        <v>573</v>
      </c>
    </row>
    <row r="14" spans="1:1" x14ac:dyDescent="0.25">
      <c r="A14" t="s">
        <v>601</v>
      </c>
    </row>
    <row r="15" spans="1:1" x14ac:dyDescent="0.25">
      <c r="A15" t="s">
        <v>35</v>
      </c>
    </row>
    <row r="16" spans="1:1" x14ac:dyDescent="0.25">
      <c r="A16" t="s">
        <v>589</v>
      </c>
    </row>
    <row r="17" spans="1:1" x14ac:dyDescent="0.25">
      <c r="A17" t="s">
        <v>578</v>
      </c>
    </row>
    <row r="18" spans="1:1" x14ac:dyDescent="0.25">
      <c r="A18" t="s">
        <v>603</v>
      </c>
    </row>
    <row r="19" spans="1:1" x14ac:dyDescent="0.25">
      <c r="A19" t="s">
        <v>580</v>
      </c>
    </row>
    <row r="20" spans="1:1" x14ac:dyDescent="0.25">
      <c r="A20" t="s">
        <v>566</v>
      </c>
    </row>
    <row r="21" spans="1:1" x14ac:dyDescent="0.25">
      <c r="A21" t="s">
        <v>565</v>
      </c>
    </row>
    <row r="22" spans="1:1" x14ac:dyDescent="0.25">
      <c r="A22" t="s">
        <v>612</v>
      </c>
    </row>
    <row r="23" spans="1:1" x14ac:dyDescent="0.25">
      <c r="A23" t="s">
        <v>613</v>
      </c>
    </row>
    <row r="24" spans="1:1" x14ac:dyDescent="0.25">
      <c r="A24" t="s">
        <v>608</v>
      </c>
    </row>
    <row r="25" spans="1:1" x14ac:dyDescent="0.25">
      <c r="A25" t="s">
        <v>52</v>
      </c>
    </row>
    <row r="26" spans="1:1" x14ac:dyDescent="0.25">
      <c r="A26" t="s">
        <v>587</v>
      </c>
    </row>
    <row r="27" spans="1:1" x14ac:dyDescent="0.25">
      <c r="A27" t="s">
        <v>592</v>
      </c>
    </row>
    <row r="28" spans="1:1" x14ac:dyDescent="0.25">
      <c r="A28" t="s">
        <v>492</v>
      </c>
    </row>
    <row r="29" spans="1:1" x14ac:dyDescent="0.25">
      <c r="A29" t="s">
        <v>67</v>
      </c>
    </row>
    <row r="30" spans="1:1" x14ac:dyDescent="0.25">
      <c r="A30" t="s">
        <v>610</v>
      </c>
    </row>
    <row r="31" spans="1:1" x14ac:dyDescent="0.25">
      <c r="A31" t="s">
        <v>582</v>
      </c>
    </row>
    <row r="32" spans="1:1" x14ac:dyDescent="0.25">
      <c r="A32" t="s">
        <v>583</v>
      </c>
    </row>
    <row r="33" spans="1:1" x14ac:dyDescent="0.25">
      <c r="A33" t="s">
        <v>588</v>
      </c>
    </row>
    <row r="34" spans="1:1" x14ac:dyDescent="0.25">
      <c r="A34" t="s">
        <v>576</v>
      </c>
    </row>
    <row r="35" spans="1:1" x14ac:dyDescent="0.25">
      <c r="A35" t="s">
        <v>559</v>
      </c>
    </row>
    <row r="36" spans="1:1" x14ac:dyDescent="0.25">
      <c r="A36" t="s">
        <v>607</v>
      </c>
    </row>
    <row r="37" spans="1:1" x14ac:dyDescent="0.25">
      <c r="A37" t="s">
        <v>611</v>
      </c>
    </row>
    <row r="38" spans="1:1" x14ac:dyDescent="0.25">
      <c r="A38" t="s">
        <v>614</v>
      </c>
    </row>
    <row r="39" spans="1:1" x14ac:dyDescent="0.25">
      <c r="A39" t="s">
        <v>598</v>
      </c>
    </row>
    <row r="40" spans="1:1" x14ac:dyDescent="0.25">
      <c r="A40" t="s">
        <v>101</v>
      </c>
    </row>
    <row r="41" spans="1:1" x14ac:dyDescent="0.25">
      <c r="A41" t="s">
        <v>595</v>
      </c>
    </row>
    <row r="42" spans="1:1" x14ac:dyDescent="0.25">
      <c r="A42" t="s">
        <v>591</v>
      </c>
    </row>
    <row r="43" spans="1:1" x14ac:dyDescent="0.25">
      <c r="A43" t="s">
        <v>115</v>
      </c>
    </row>
    <row r="44" spans="1:1" x14ac:dyDescent="0.25">
      <c r="A44" t="s">
        <v>581</v>
      </c>
    </row>
    <row r="45" spans="1:1" x14ac:dyDescent="0.25">
      <c r="A45" t="s">
        <v>570</v>
      </c>
    </row>
    <row r="46" spans="1:1" x14ac:dyDescent="0.25">
      <c r="A46" t="s">
        <v>564</v>
      </c>
    </row>
    <row r="47" spans="1:1" x14ac:dyDescent="0.25">
      <c r="A47" t="s">
        <v>558</v>
      </c>
    </row>
    <row r="48" spans="1:1" x14ac:dyDescent="0.25">
      <c r="A48" t="s">
        <v>569</v>
      </c>
    </row>
    <row r="49" spans="1:1" x14ac:dyDescent="0.25">
      <c r="A49" t="s">
        <v>572</v>
      </c>
    </row>
    <row r="50" spans="1:1" x14ac:dyDescent="0.25">
      <c r="A50" t="s">
        <v>147</v>
      </c>
    </row>
    <row r="51" spans="1:1" x14ac:dyDescent="0.25">
      <c r="A51" t="s">
        <v>149</v>
      </c>
    </row>
    <row r="52" spans="1:1" x14ac:dyDescent="0.25">
      <c r="A52" t="s">
        <v>596</v>
      </c>
    </row>
    <row r="53" spans="1:1" x14ac:dyDescent="0.25">
      <c r="A53" t="s">
        <v>594</v>
      </c>
    </row>
    <row r="54" spans="1:1" x14ac:dyDescent="0.25">
      <c r="A54" t="s">
        <v>585</v>
      </c>
    </row>
    <row r="55" spans="1:1" x14ac:dyDescent="0.25">
      <c r="A55" t="s">
        <v>593</v>
      </c>
    </row>
    <row r="56" spans="1:1" x14ac:dyDescent="0.25">
      <c r="A56" t="s">
        <v>571</v>
      </c>
    </row>
    <row r="57" spans="1:1" x14ac:dyDescent="0.25">
      <c r="A57" t="s">
        <v>606</v>
      </c>
    </row>
    <row r="58" spans="1:1" x14ac:dyDescent="0.25">
      <c r="A58" t="s">
        <v>561</v>
      </c>
    </row>
    <row r="59" spans="1:1" x14ac:dyDescent="0.25">
      <c r="A59" t="s">
        <v>167</v>
      </c>
    </row>
    <row r="60" spans="1:1" x14ac:dyDescent="0.25">
      <c r="A60" t="s">
        <v>574</v>
      </c>
    </row>
    <row r="61" spans="1:1" x14ac:dyDescent="0.25">
      <c r="A61" t="s">
        <v>579</v>
      </c>
    </row>
    <row r="62" spans="1:1" x14ac:dyDescent="0.25">
      <c r="A62" t="s">
        <v>602</v>
      </c>
    </row>
    <row r="63" spans="1:1" x14ac:dyDescent="0.25">
      <c r="A63" t="s">
        <v>575</v>
      </c>
    </row>
    <row r="64" spans="1:1" x14ac:dyDescent="0.25">
      <c r="A64" t="s">
        <v>599</v>
      </c>
    </row>
    <row r="65" spans="1:1" x14ac:dyDescent="0.25">
      <c r="A65" t="s">
        <v>597</v>
      </c>
    </row>
    <row r="66" spans="1:1" x14ac:dyDescent="0.25">
      <c r="A66" t="s">
        <v>562</v>
      </c>
    </row>
    <row r="67" spans="1:1" x14ac:dyDescent="0.25">
      <c r="A67" t="s">
        <v>605</v>
      </c>
    </row>
    <row r="68" spans="1:1" x14ac:dyDescent="0.25">
      <c r="A68" t="s">
        <v>609</v>
      </c>
    </row>
    <row r="69" spans="1:1" x14ac:dyDescent="0.25">
      <c r="A69" t="s">
        <v>604</v>
      </c>
    </row>
    <row r="70" spans="1:1" x14ac:dyDescent="0.25">
      <c r="A70" t="s">
        <v>584</v>
      </c>
    </row>
    <row r="71" spans="1:1" x14ac:dyDescent="0.25">
      <c r="A71" t="s">
        <v>567</v>
      </c>
    </row>
    <row r="72" spans="1:1" x14ac:dyDescent="0.25">
      <c r="A72" t="s">
        <v>182</v>
      </c>
    </row>
    <row r="73" spans="1:1" x14ac:dyDescent="0.25">
      <c r="A73" t="s">
        <v>185</v>
      </c>
    </row>
  </sheetData>
  <sortState xmlns:xlrd2="http://schemas.microsoft.com/office/spreadsheetml/2017/richdata2" ref="A1:A73">
    <sortCondition ref="A1:A73"/>
  </sortState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C0CF-C2DA-4228-ADAC-3EC1237C16B1}">
  <dimension ref="A1:E41"/>
  <sheetViews>
    <sheetView workbookViewId="0">
      <selection activeCell="H10" sqref="H10"/>
    </sheetView>
  </sheetViews>
  <sheetFormatPr defaultRowHeight="12.75" x14ac:dyDescent="0.2"/>
  <cols>
    <col min="1" max="5" width="18.85546875" style="11" customWidth="1"/>
    <col min="6" max="16384" width="9.140625" style="11"/>
  </cols>
  <sheetData>
    <row r="1" spans="1:5" ht="13.5" thickBot="1" x14ac:dyDescent="0.25">
      <c r="A1" s="16" t="s">
        <v>296</v>
      </c>
      <c r="B1" s="16" t="s">
        <v>297</v>
      </c>
      <c r="C1" s="16" t="s">
        <v>298</v>
      </c>
      <c r="D1" s="16" t="s">
        <v>299</v>
      </c>
      <c r="E1" s="16" t="s">
        <v>298</v>
      </c>
    </row>
    <row r="2" spans="1:5" ht="13.5" thickBot="1" x14ac:dyDescent="0.25">
      <c r="A2" s="17" t="s">
        <v>300</v>
      </c>
      <c r="B2" s="18" t="s">
        <v>301</v>
      </c>
      <c r="C2" s="19">
        <v>45008</v>
      </c>
      <c r="D2" s="18" t="s">
        <v>302</v>
      </c>
      <c r="E2" s="19">
        <v>45008</v>
      </c>
    </row>
    <row r="3" spans="1:5" ht="13.5" thickBot="1" x14ac:dyDescent="0.25">
      <c r="A3" s="17">
        <v>2022</v>
      </c>
      <c r="B3" s="18" t="s">
        <v>303</v>
      </c>
      <c r="C3" s="19">
        <v>44756</v>
      </c>
      <c r="D3" s="18" t="s">
        <v>304</v>
      </c>
      <c r="E3" s="19">
        <v>44756</v>
      </c>
    </row>
    <row r="4" spans="1:5" ht="13.5" thickBot="1" x14ac:dyDescent="0.25">
      <c r="A4" s="17">
        <v>2021</v>
      </c>
      <c r="B4" s="18" t="s">
        <v>305</v>
      </c>
      <c r="C4" s="19">
        <v>44531</v>
      </c>
      <c r="D4" s="18" t="s">
        <v>306</v>
      </c>
      <c r="E4" s="19">
        <v>44531</v>
      </c>
    </row>
    <row r="5" spans="1:5" ht="13.5" thickBot="1" x14ac:dyDescent="0.25">
      <c r="A5" s="17">
        <v>2020</v>
      </c>
      <c r="B5" s="18" t="s">
        <v>307</v>
      </c>
      <c r="C5" s="19">
        <v>43913</v>
      </c>
      <c r="D5" s="18" t="s">
        <v>308</v>
      </c>
      <c r="E5" s="19">
        <v>43913</v>
      </c>
    </row>
    <row r="6" spans="1:5" ht="13.5" thickBot="1" x14ac:dyDescent="0.25">
      <c r="A6" s="17">
        <v>2019</v>
      </c>
      <c r="B6" s="18" t="s">
        <v>309</v>
      </c>
      <c r="C6" s="19">
        <v>43602</v>
      </c>
      <c r="D6" s="18" t="s">
        <v>310</v>
      </c>
      <c r="E6" s="19">
        <v>43602</v>
      </c>
    </row>
    <row r="7" spans="1:5" ht="13.5" thickBot="1" x14ac:dyDescent="0.25">
      <c r="A7" s="17">
        <v>2018</v>
      </c>
      <c r="B7" s="18" t="s">
        <v>311</v>
      </c>
      <c r="C7" s="19">
        <v>43269</v>
      </c>
      <c r="D7" s="18" t="s">
        <v>312</v>
      </c>
      <c r="E7" s="19">
        <v>43354</v>
      </c>
    </row>
    <row r="8" spans="1:5" ht="13.5" thickBot="1" x14ac:dyDescent="0.25">
      <c r="A8" s="17">
        <v>2017</v>
      </c>
      <c r="B8" s="18" t="s">
        <v>313</v>
      </c>
      <c r="C8" s="19">
        <v>42737</v>
      </c>
      <c r="D8" s="18" t="s">
        <v>314</v>
      </c>
      <c r="E8" s="19">
        <v>42737</v>
      </c>
    </row>
    <row r="9" spans="1:5" ht="13.5" thickBot="1" x14ac:dyDescent="0.25">
      <c r="A9" s="17">
        <v>2016</v>
      </c>
      <c r="B9" s="18" t="s">
        <v>315</v>
      </c>
      <c r="C9" s="19">
        <v>42395</v>
      </c>
      <c r="D9" s="18" t="s">
        <v>316</v>
      </c>
      <c r="E9" s="19">
        <v>42390</v>
      </c>
    </row>
    <row r="10" spans="1:5" ht="13.5" thickBot="1" x14ac:dyDescent="0.25">
      <c r="A10" s="17">
        <v>2015</v>
      </c>
      <c r="B10" s="18" t="s">
        <v>317</v>
      </c>
      <c r="C10" s="19">
        <v>42359</v>
      </c>
      <c r="D10" s="18" t="s">
        <v>318</v>
      </c>
      <c r="E10" s="19">
        <v>42276</v>
      </c>
    </row>
    <row r="11" spans="1:5" ht="13.5" thickBot="1" x14ac:dyDescent="0.25">
      <c r="A11" s="17">
        <v>2014</v>
      </c>
      <c r="B11" s="18" t="s">
        <v>319</v>
      </c>
      <c r="C11" s="19">
        <v>41712</v>
      </c>
      <c r="D11" s="18" t="s">
        <v>320</v>
      </c>
      <c r="E11" s="19">
        <v>41989</v>
      </c>
    </row>
    <row r="12" spans="1:5" ht="13.5" thickBot="1" x14ac:dyDescent="0.25">
      <c r="A12" s="17">
        <v>2013</v>
      </c>
      <c r="B12" s="18" t="s">
        <v>321</v>
      </c>
      <c r="C12" s="19">
        <v>41458</v>
      </c>
      <c r="D12" s="18" t="s">
        <v>322</v>
      </c>
      <c r="E12" s="19">
        <v>41458</v>
      </c>
    </row>
    <row r="13" spans="1:5" ht="13.5" thickBot="1" x14ac:dyDescent="0.25">
      <c r="A13" s="17">
        <v>2012</v>
      </c>
      <c r="B13" s="18" t="s">
        <v>323</v>
      </c>
      <c r="C13" s="19">
        <v>41065</v>
      </c>
      <c r="D13" s="18" t="s">
        <v>324</v>
      </c>
      <c r="E13" s="19">
        <v>41088</v>
      </c>
    </row>
    <row r="14" spans="1:5" ht="13.5" thickBot="1" x14ac:dyDescent="0.25">
      <c r="A14" s="17">
        <v>2011</v>
      </c>
      <c r="B14" s="18" t="s">
        <v>325</v>
      </c>
      <c r="C14" s="19">
        <v>40763</v>
      </c>
      <c r="D14" s="18" t="s">
        <v>326</v>
      </c>
      <c r="E14" s="19">
        <v>40820</v>
      </c>
    </row>
    <row r="15" spans="1:5" ht="13.5" thickBot="1" x14ac:dyDescent="0.25">
      <c r="A15" s="17">
        <v>2010</v>
      </c>
      <c r="B15" s="18" t="s">
        <v>327</v>
      </c>
      <c r="C15" s="19">
        <v>40318</v>
      </c>
      <c r="D15" s="18" t="s">
        <v>328</v>
      </c>
      <c r="E15" s="19">
        <v>40318</v>
      </c>
    </row>
    <row r="16" spans="1:5" ht="13.5" thickBot="1" x14ac:dyDescent="0.25">
      <c r="A16" s="17">
        <v>2009</v>
      </c>
      <c r="B16" s="18" t="s">
        <v>329</v>
      </c>
      <c r="C16" s="19">
        <v>39874</v>
      </c>
      <c r="D16" s="18" t="s">
        <v>330</v>
      </c>
      <c r="E16" s="19">
        <v>39874</v>
      </c>
    </row>
    <row r="17" spans="1:5" ht="13.5" thickBot="1" x14ac:dyDescent="0.25">
      <c r="A17" s="17">
        <v>2008</v>
      </c>
      <c r="B17" s="18" t="s">
        <v>331</v>
      </c>
      <c r="C17" s="19">
        <v>39748</v>
      </c>
      <c r="D17" s="18" t="s">
        <v>332</v>
      </c>
      <c r="E17" s="19">
        <v>39773</v>
      </c>
    </row>
    <row r="18" spans="1:5" ht="13.5" thickBot="1" x14ac:dyDescent="0.25">
      <c r="A18" s="17">
        <v>2007</v>
      </c>
      <c r="B18" s="18" t="s">
        <v>333</v>
      </c>
      <c r="C18" s="19">
        <v>39146</v>
      </c>
      <c r="D18" s="18" t="s">
        <v>334</v>
      </c>
      <c r="E18" s="19">
        <v>39146</v>
      </c>
    </row>
    <row r="19" spans="1:5" ht="13.5" thickBot="1" x14ac:dyDescent="0.25">
      <c r="A19" s="17">
        <v>2006</v>
      </c>
      <c r="B19" s="18" t="s">
        <v>335</v>
      </c>
      <c r="C19" s="19">
        <v>38881</v>
      </c>
      <c r="D19" s="18" t="s">
        <v>336</v>
      </c>
      <c r="E19" s="19">
        <v>38881</v>
      </c>
    </row>
    <row r="20" spans="1:5" ht="13.5" thickBot="1" x14ac:dyDescent="0.25">
      <c r="A20" s="17">
        <v>2005</v>
      </c>
      <c r="B20" s="18" t="s">
        <v>337</v>
      </c>
      <c r="C20" s="19">
        <v>38372</v>
      </c>
      <c r="D20" s="18" t="s">
        <v>338</v>
      </c>
      <c r="E20" s="19">
        <v>38372</v>
      </c>
    </row>
    <row r="21" spans="1:5" ht="13.5" thickBot="1" x14ac:dyDescent="0.25">
      <c r="A21" s="17">
        <v>2004</v>
      </c>
      <c r="B21" s="18" t="s">
        <v>339</v>
      </c>
      <c r="C21" s="19">
        <v>38117</v>
      </c>
      <c r="D21" s="18" t="s">
        <v>340</v>
      </c>
      <c r="E21" s="19">
        <v>38117</v>
      </c>
    </row>
    <row r="22" spans="1:5" ht="13.5" thickBot="1" x14ac:dyDescent="0.25">
      <c r="A22" s="17">
        <v>2003</v>
      </c>
      <c r="B22" s="18" t="s">
        <v>341</v>
      </c>
      <c r="C22" s="19">
        <v>37678</v>
      </c>
      <c r="D22" s="18" t="s">
        <v>342</v>
      </c>
      <c r="E22" s="19">
        <v>37666</v>
      </c>
    </row>
    <row r="23" spans="1:5" ht="13.5" thickBot="1" x14ac:dyDescent="0.25">
      <c r="A23" s="17">
        <v>2002</v>
      </c>
      <c r="B23" s="18" t="s">
        <v>343</v>
      </c>
      <c r="C23" s="19">
        <v>37545</v>
      </c>
      <c r="D23" s="18" t="s">
        <v>344</v>
      </c>
      <c r="E23" s="19">
        <v>37545</v>
      </c>
    </row>
    <row r="24" spans="1:5" ht="13.5" thickBot="1" x14ac:dyDescent="0.25">
      <c r="A24" s="17">
        <v>2001</v>
      </c>
      <c r="B24" s="18" t="s">
        <v>345</v>
      </c>
      <c r="C24" s="19">
        <v>37160</v>
      </c>
      <c r="D24" s="18" t="s">
        <v>346</v>
      </c>
      <c r="E24" s="19">
        <v>37172</v>
      </c>
    </row>
    <row r="25" spans="1:5" ht="13.5" thickBot="1" x14ac:dyDescent="0.25">
      <c r="A25" s="17">
        <v>2000</v>
      </c>
      <c r="B25" s="18" t="s">
        <v>347</v>
      </c>
      <c r="C25" s="19">
        <v>36860</v>
      </c>
      <c r="D25" s="18" t="s">
        <v>348</v>
      </c>
      <c r="E25" s="19">
        <v>36860</v>
      </c>
    </row>
    <row r="26" spans="1:5" ht="13.5" thickBot="1" x14ac:dyDescent="0.25">
      <c r="A26" s="17">
        <v>1999</v>
      </c>
      <c r="B26" s="18" t="s">
        <v>349</v>
      </c>
      <c r="C26" s="19">
        <v>36174</v>
      </c>
      <c r="D26" s="18" t="s">
        <v>350</v>
      </c>
      <c r="E26" s="19">
        <v>36174</v>
      </c>
    </row>
    <row r="27" spans="1:5" ht="13.5" thickBot="1" x14ac:dyDescent="0.25">
      <c r="A27" s="17">
        <v>1998</v>
      </c>
      <c r="B27" s="18" t="s">
        <v>351</v>
      </c>
      <c r="C27" s="19">
        <v>36048</v>
      </c>
      <c r="D27" s="18" t="s">
        <v>352</v>
      </c>
      <c r="E27" s="19">
        <v>36048</v>
      </c>
    </row>
    <row r="28" spans="1:5" ht="13.5" thickBot="1" x14ac:dyDescent="0.25">
      <c r="A28" s="17">
        <v>1997</v>
      </c>
      <c r="B28" s="18" t="s">
        <v>353</v>
      </c>
      <c r="C28" s="19">
        <v>35432</v>
      </c>
      <c r="D28" s="18" t="s">
        <v>354</v>
      </c>
      <c r="E28" s="19">
        <v>35432</v>
      </c>
    </row>
    <row r="29" spans="1:5" ht="13.5" thickBot="1" x14ac:dyDescent="0.25">
      <c r="A29" s="17">
        <v>1996</v>
      </c>
      <c r="B29" s="18" t="s">
        <v>355</v>
      </c>
      <c r="C29" s="19">
        <v>35066</v>
      </c>
      <c r="D29" s="18" t="s">
        <v>356</v>
      </c>
      <c r="E29" s="19">
        <v>35066</v>
      </c>
    </row>
    <row r="30" spans="1:5" ht="13.5" thickBot="1" x14ac:dyDescent="0.25">
      <c r="A30" s="17">
        <v>1995</v>
      </c>
      <c r="B30" s="18" t="s">
        <v>357</v>
      </c>
      <c r="C30" s="19">
        <v>34767</v>
      </c>
      <c r="D30" s="18" t="s">
        <v>358</v>
      </c>
      <c r="E30" s="19">
        <v>34767</v>
      </c>
    </row>
    <row r="31" spans="1:5" ht="13.5" thickBot="1" x14ac:dyDescent="0.25">
      <c r="A31" s="17">
        <v>1994</v>
      </c>
      <c r="B31" s="18" t="s">
        <v>359</v>
      </c>
      <c r="C31" s="19">
        <v>34337</v>
      </c>
      <c r="D31" s="18" t="s">
        <v>360</v>
      </c>
      <c r="E31" s="19">
        <v>34463</v>
      </c>
    </row>
    <row r="32" spans="1:5" ht="13.5" thickBot="1" x14ac:dyDescent="0.25">
      <c r="A32" s="17">
        <v>1993</v>
      </c>
      <c r="B32" s="18" t="s">
        <v>361</v>
      </c>
      <c r="C32" s="19">
        <v>33973</v>
      </c>
      <c r="D32" s="18" t="s">
        <v>362</v>
      </c>
      <c r="E32" s="19">
        <v>34001</v>
      </c>
    </row>
    <row r="33" spans="1:5" ht="13.5" thickBot="1" x14ac:dyDescent="0.25">
      <c r="A33" s="17">
        <v>1992</v>
      </c>
      <c r="B33" s="18" t="s">
        <v>363</v>
      </c>
      <c r="C33" s="19">
        <v>33605</v>
      </c>
      <c r="D33" s="18" t="s">
        <v>364</v>
      </c>
      <c r="E33" s="19">
        <v>33927</v>
      </c>
    </row>
    <row r="34" spans="1:5" ht="13.5" thickBot="1" x14ac:dyDescent="0.25">
      <c r="A34" s="17">
        <v>1991</v>
      </c>
      <c r="B34" s="18" t="s">
        <v>365</v>
      </c>
      <c r="C34" s="19">
        <v>33240</v>
      </c>
      <c r="D34" s="18" t="s">
        <v>366</v>
      </c>
      <c r="E34" s="19">
        <v>33252</v>
      </c>
    </row>
    <row r="35" spans="1:5" ht="13.5" thickBot="1" x14ac:dyDescent="0.25">
      <c r="A35" s="17">
        <v>1990</v>
      </c>
      <c r="B35" s="18" t="s">
        <v>367</v>
      </c>
      <c r="C35" s="19">
        <v>32875</v>
      </c>
      <c r="D35" s="18" t="s">
        <v>368</v>
      </c>
      <c r="E35" s="19">
        <v>33233</v>
      </c>
    </row>
    <row r="36" spans="1:5" ht="13.5" thickBot="1" x14ac:dyDescent="0.25">
      <c r="A36" s="17">
        <v>1989</v>
      </c>
      <c r="B36" s="18" t="s">
        <v>369</v>
      </c>
      <c r="C36" s="19">
        <v>32534</v>
      </c>
      <c r="D36" s="18" t="s">
        <v>370</v>
      </c>
      <c r="E36" s="19">
        <v>32534</v>
      </c>
    </row>
    <row r="37" spans="1:5" ht="13.5" thickBot="1" x14ac:dyDescent="0.25">
      <c r="A37" s="17">
        <v>1988</v>
      </c>
      <c r="B37" s="18" t="s">
        <v>371</v>
      </c>
      <c r="C37" s="19">
        <v>32146</v>
      </c>
      <c r="D37" s="18" t="s">
        <v>372</v>
      </c>
      <c r="E37" s="19">
        <v>32146</v>
      </c>
    </row>
    <row r="38" spans="1:5" ht="13.5" thickBot="1" x14ac:dyDescent="0.25">
      <c r="A38" s="17">
        <v>1987</v>
      </c>
      <c r="B38" s="18" t="s">
        <v>373</v>
      </c>
      <c r="C38" s="19">
        <v>31818</v>
      </c>
      <c r="D38" s="18" t="s">
        <v>374</v>
      </c>
      <c r="E38" s="19">
        <v>31937</v>
      </c>
    </row>
    <row r="39" spans="1:5" ht="13.5" thickBot="1" x14ac:dyDescent="0.25">
      <c r="A39" s="17">
        <v>1986</v>
      </c>
      <c r="B39" s="18" t="s">
        <v>375</v>
      </c>
      <c r="C39" s="19">
        <v>31441</v>
      </c>
      <c r="D39" s="18" t="s">
        <v>376</v>
      </c>
      <c r="E39" s="19">
        <v>31442</v>
      </c>
    </row>
    <row r="40" spans="1:5" ht="13.5" thickBot="1" x14ac:dyDescent="0.25">
      <c r="A40" s="17">
        <v>1985</v>
      </c>
      <c r="B40" s="18" t="s">
        <v>377</v>
      </c>
      <c r="C40" s="19">
        <v>31147</v>
      </c>
      <c r="D40" s="18" t="s">
        <v>378</v>
      </c>
      <c r="E40" s="19">
        <v>31152</v>
      </c>
    </row>
    <row r="41" spans="1:5" ht="13.5" thickBot="1" x14ac:dyDescent="0.25">
      <c r="A41" s="17">
        <v>1984</v>
      </c>
      <c r="B41" s="18" t="s">
        <v>379</v>
      </c>
      <c r="C41" s="19">
        <v>30732</v>
      </c>
      <c r="D41" s="18" t="s">
        <v>380</v>
      </c>
      <c r="E41" s="19">
        <v>30733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A1F83-88B1-456A-AB3A-3AF3926839A5}">
  <dimension ref="A1:E41"/>
  <sheetViews>
    <sheetView workbookViewId="0">
      <selection activeCell="H9" sqref="H9"/>
    </sheetView>
  </sheetViews>
  <sheetFormatPr defaultRowHeight="12.75" x14ac:dyDescent="0.2"/>
  <cols>
    <col min="1" max="5" width="17.28515625" style="11" customWidth="1"/>
    <col min="6" max="16384" width="9.140625" style="11"/>
  </cols>
  <sheetData>
    <row r="1" spans="1:5" ht="13.5" thickBot="1" x14ac:dyDescent="0.25">
      <c r="A1" s="16" t="s">
        <v>296</v>
      </c>
      <c r="B1" s="16" t="s">
        <v>297</v>
      </c>
      <c r="C1" s="16" t="s">
        <v>298</v>
      </c>
      <c r="D1" s="16" t="s">
        <v>299</v>
      </c>
      <c r="E1" s="16" t="s">
        <v>298</v>
      </c>
    </row>
    <row r="2" spans="1:5" ht="13.5" thickBot="1" x14ac:dyDescent="0.25">
      <c r="A2" s="17" t="s">
        <v>300</v>
      </c>
      <c r="B2" s="18" t="s">
        <v>381</v>
      </c>
      <c r="C2" s="19">
        <v>45133</v>
      </c>
      <c r="D2" s="18" t="s">
        <v>382</v>
      </c>
      <c r="E2" s="19">
        <v>45133</v>
      </c>
    </row>
    <row r="3" spans="1:5" ht="13.5" thickBot="1" x14ac:dyDescent="0.25">
      <c r="A3" s="17">
        <v>2022</v>
      </c>
      <c r="B3" s="18" t="s">
        <v>383</v>
      </c>
      <c r="C3" s="19">
        <v>44652</v>
      </c>
      <c r="D3" s="18" t="s">
        <v>384</v>
      </c>
      <c r="E3" s="19">
        <v>44655</v>
      </c>
    </row>
    <row r="4" spans="1:5" ht="13.5" thickBot="1" x14ac:dyDescent="0.25">
      <c r="A4" s="17">
        <v>2021</v>
      </c>
      <c r="B4" s="18" t="s">
        <v>385</v>
      </c>
      <c r="C4" s="19">
        <v>44354</v>
      </c>
      <c r="D4" s="18" t="s">
        <v>386</v>
      </c>
      <c r="E4" s="19">
        <v>44371</v>
      </c>
    </row>
    <row r="5" spans="1:5" ht="13.5" thickBot="1" x14ac:dyDescent="0.25">
      <c r="A5" s="17">
        <v>2020</v>
      </c>
      <c r="B5" s="18" t="s">
        <v>387</v>
      </c>
      <c r="C5" s="19">
        <v>43853</v>
      </c>
      <c r="D5" s="18" t="s">
        <v>388</v>
      </c>
      <c r="E5" s="19">
        <v>43832</v>
      </c>
    </row>
    <row r="6" spans="1:5" ht="13.5" thickBot="1" x14ac:dyDescent="0.25">
      <c r="A6" s="17">
        <v>2019</v>
      </c>
      <c r="B6" s="18" t="s">
        <v>389</v>
      </c>
      <c r="C6" s="19">
        <v>43825</v>
      </c>
      <c r="D6" s="18" t="s">
        <v>390</v>
      </c>
      <c r="E6" s="19">
        <v>43825</v>
      </c>
    </row>
    <row r="7" spans="1:5" ht="13.5" thickBot="1" x14ac:dyDescent="0.25">
      <c r="A7" s="17">
        <v>2018</v>
      </c>
      <c r="B7" s="18" t="s">
        <v>391</v>
      </c>
      <c r="C7" s="19">
        <v>43437</v>
      </c>
      <c r="D7" s="18" t="s">
        <v>392</v>
      </c>
      <c r="E7" s="19">
        <v>43126</v>
      </c>
    </row>
    <row r="8" spans="1:5" ht="13.5" thickBot="1" x14ac:dyDescent="0.25">
      <c r="A8" s="17">
        <v>2017</v>
      </c>
      <c r="B8" s="18" t="s">
        <v>393</v>
      </c>
      <c r="C8" s="19">
        <v>43021</v>
      </c>
      <c r="D8" s="18" t="s">
        <v>394</v>
      </c>
      <c r="E8" s="19">
        <v>43012</v>
      </c>
    </row>
    <row r="9" spans="1:5" ht="13.5" thickBot="1" x14ac:dyDescent="0.25">
      <c r="A9" s="17">
        <v>2016</v>
      </c>
      <c r="B9" s="18" t="s">
        <v>395</v>
      </c>
      <c r="C9" s="19">
        <v>42674</v>
      </c>
      <c r="D9" s="18" t="s">
        <v>396</v>
      </c>
      <c r="E9" s="19">
        <v>42668</v>
      </c>
    </row>
    <row r="10" spans="1:5" ht="13.5" thickBot="1" x14ac:dyDescent="0.25">
      <c r="A10" s="17">
        <v>2015</v>
      </c>
      <c r="B10" s="18" t="s">
        <v>397</v>
      </c>
      <c r="C10" s="19">
        <v>42129</v>
      </c>
      <c r="D10" s="18" t="s">
        <v>398</v>
      </c>
      <c r="E10" s="19">
        <v>42122</v>
      </c>
    </row>
    <row r="11" spans="1:5" ht="13.5" thickBot="1" x14ac:dyDescent="0.25">
      <c r="A11" s="17">
        <v>2014</v>
      </c>
      <c r="B11" s="18" t="s">
        <v>399</v>
      </c>
      <c r="C11" s="19">
        <v>41884</v>
      </c>
      <c r="D11" s="18" t="s">
        <v>400</v>
      </c>
      <c r="E11" s="19">
        <v>41885</v>
      </c>
    </row>
    <row r="12" spans="1:5" ht="13.5" thickBot="1" x14ac:dyDescent="0.25">
      <c r="A12" s="17">
        <v>2013</v>
      </c>
      <c r="B12" s="18" t="s">
        <v>401</v>
      </c>
      <c r="C12" s="19">
        <v>41277</v>
      </c>
      <c r="D12" s="18" t="s">
        <v>402</v>
      </c>
      <c r="E12" s="19">
        <v>41277</v>
      </c>
    </row>
    <row r="13" spans="1:5" ht="13.5" thickBot="1" x14ac:dyDescent="0.25">
      <c r="A13" s="17">
        <v>2012</v>
      </c>
      <c r="B13" s="18" t="s">
        <v>403</v>
      </c>
      <c r="C13" s="19">
        <v>40981</v>
      </c>
      <c r="D13" s="18" t="s">
        <v>404</v>
      </c>
      <c r="E13" s="19">
        <v>40970</v>
      </c>
    </row>
    <row r="14" spans="1:5" ht="13.5" thickBot="1" x14ac:dyDescent="0.25">
      <c r="A14" s="17">
        <v>2011</v>
      </c>
      <c r="B14" s="18" t="s">
        <v>405</v>
      </c>
      <c r="C14" s="19">
        <v>40555</v>
      </c>
      <c r="D14" s="18" t="s">
        <v>406</v>
      </c>
      <c r="E14" s="19">
        <v>40641</v>
      </c>
    </row>
    <row r="15" spans="1:5" ht="13.5" thickBot="1" x14ac:dyDescent="0.25">
      <c r="A15" s="17">
        <v>2010</v>
      </c>
      <c r="B15" s="18" t="s">
        <v>407</v>
      </c>
      <c r="C15" s="19">
        <v>40486</v>
      </c>
      <c r="D15" s="18" t="s">
        <v>408</v>
      </c>
      <c r="E15" s="19">
        <v>40486</v>
      </c>
    </row>
    <row r="16" spans="1:5" ht="13.5" thickBot="1" x14ac:dyDescent="0.25">
      <c r="A16" s="17">
        <v>2009</v>
      </c>
      <c r="B16" s="18" t="s">
        <v>409</v>
      </c>
      <c r="C16" s="19">
        <v>40161</v>
      </c>
      <c r="D16" s="18" t="s">
        <v>410</v>
      </c>
      <c r="E16" s="19">
        <v>40150</v>
      </c>
    </row>
    <row r="17" spans="1:5" ht="13.5" thickBot="1" x14ac:dyDescent="0.25">
      <c r="A17" s="17">
        <v>2008</v>
      </c>
      <c r="B17" s="18" t="s">
        <v>411</v>
      </c>
      <c r="C17" s="19">
        <v>39588</v>
      </c>
      <c r="D17" s="18" t="s">
        <v>412</v>
      </c>
      <c r="E17" s="19">
        <v>39587</v>
      </c>
    </row>
    <row r="18" spans="1:5" ht="13.5" thickBot="1" x14ac:dyDescent="0.25">
      <c r="A18" s="17">
        <v>2007</v>
      </c>
      <c r="B18" s="18" t="s">
        <v>413</v>
      </c>
      <c r="C18" s="19">
        <v>39422</v>
      </c>
      <c r="D18" s="18" t="s">
        <v>414</v>
      </c>
      <c r="E18" s="19">
        <v>39386</v>
      </c>
    </row>
    <row r="19" spans="1:5" ht="13.5" thickBot="1" x14ac:dyDescent="0.25">
      <c r="A19" s="17">
        <v>2006</v>
      </c>
      <c r="B19" s="18" t="s">
        <v>415</v>
      </c>
      <c r="C19" s="19">
        <v>39078</v>
      </c>
      <c r="D19" s="18" t="s">
        <v>416</v>
      </c>
      <c r="E19" s="19">
        <v>39079</v>
      </c>
    </row>
    <row r="20" spans="1:5" ht="13.5" thickBot="1" x14ac:dyDescent="0.25">
      <c r="A20" s="17">
        <v>2005</v>
      </c>
      <c r="B20" s="18" t="s">
        <v>417</v>
      </c>
      <c r="C20" s="19">
        <v>38700</v>
      </c>
      <c r="D20" s="18" t="s">
        <v>418</v>
      </c>
      <c r="E20" s="19">
        <v>38692</v>
      </c>
    </row>
    <row r="21" spans="1:5" ht="13.5" thickBot="1" x14ac:dyDescent="0.25">
      <c r="A21" s="17">
        <v>2004</v>
      </c>
      <c r="B21" s="18" t="s">
        <v>419</v>
      </c>
      <c r="C21" s="19">
        <v>38351</v>
      </c>
      <c r="D21" s="18" t="s">
        <v>420</v>
      </c>
      <c r="E21" s="19">
        <v>38351</v>
      </c>
    </row>
    <row r="22" spans="1:5" ht="13.5" thickBot="1" x14ac:dyDescent="0.25">
      <c r="A22" s="17">
        <v>2003</v>
      </c>
      <c r="B22" s="18" t="s">
        <v>421</v>
      </c>
      <c r="C22" s="19">
        <v>37985</v>
      </c>
      <c r="D22" s="18" t="s">
        <v>422</v>
      </c>
      <c r="E22" s="19">
        <v>37985</v>
      </c>
    </row>
    <row r="23" spans="1:5" ht="13.5" thickBot="1" x14ac:dyDescent="0.25">
      <c r="A23" s="17">
        <v>2002</v>
      </c>
      <c r="B23" s="18" t="s">
        <v>423</v>
      </c>
      <c r="C23" s="19">
        <v>37319</v>
      </c>
      <c r="D23" s="18" t="s">
        <v>424</v>
      </c>
      <c r="E23" s="19">
        <v>37259</v>
      </c>
    </row>
    <row r="24" spans="1:5" ht="13.5" thickBot="1" x14ac:dyDescent="0.25">
      <c r="A24" s="17">
        <v>2001</v>
      </c>
      <c r="B24" s="18" t="s">
        <v>425</v>
      </c>
      <c r="C24" s="19">
        <v>36917</v>
      </c>
      <c r="D24" s="18" t="s">
        <v>426</v>
      </c>
      <c r="E24" s="19">
        <v>36914</v>
      </c>
    </row>
    <row r="25" spans="1:5" ht="13.5" thickBot="1" x14ac:dyDescent="0.25">
      <c r="A25" s="17">
        <v>2000</v>
      </c>
      <c r="B25" s="18" t="s">
        <v>427</v>
      </c>
      <c r="C25" s="19">
        <v>36612</v>
      </c>
      <c r="D25" s="18" t="s">
        <v>428</v>
      </c>
      <c r="E25" s="19">
        <v>36612</v>
      </c>
    </row>
    <row r="26" spans="1:5" ht="13.5" thickBot="1" x14ac:dyDescent="0.25">
      <c r="A26" s="17">
        <v>1999</v>
      </c>
      <c r="B26" s="18" t="s">
        <v>429</v>
      </c>
      <c r="C26" s="19">
        <v>36524</v>
      </c>
      <c r="D26" s="18" t="s">
        <v>430</v>
      </c>
      <c r="E26" s="19">
        <v>36524</v>
      </c>
    </row>
    <row r="27" spans="1:5" ht="13.5" thickBot="1" x14ac:dyDescent="0.25">
      <c r="A27" s="17">
        <v>1998</v>
      </c>
      <c r="B27" s="18" t="s">
        <v>431</v>
      </c>
      <c r="C27" s="19">
        <v>35900</v>
      </c>
      <c r="D27" s="18" t="s">
        <v>432</v>
      </c>
      <c r="E27" s="19">
        <v>35900</v>
      </c>
    </row>
    <row r="28" spans="1:5" ht="13.5" thickBot="1" x14ac:dyDescent="0.25">
      <c r="A28" s="17">
        <v>1997</v>
      </c>
      <c r="B28" s="18" t="s">
        <v>433</v>
      </c>
      <c r="C28" s="19">
        <v>35619</v>
      </c>
      <c r="D28" s="18" t="s">
        <v>434</v>
      </c>
      <c r="E28" s="19">
        <v>35619</v>
      </c>
    </row>
    <row r="29" spans="1:5" ht="13.5" thickBot="1" x14ac:dyDescent="0.25">
      <c r="A29" s="17">
        <v>1996</v>
      </c>
      <c r="B29" s="18" t="s">
        <v>435</v>
      </c>
      <c r="C29" s="19">
        <v>35429</v>
      </c>
      <c r="D29" s="18" t="s">
        <v>436</v>
      </c>
      <c r="E29" s="19">
        <v>35429</v>
      </c>
    </row>
    <row r="30" spans="1:5" ht="13.5" thickBot="1" x14ac:dyDescent="0.25">
      <c r="A30" s="17">
        <v>1995</v>
      </c>
      <c r="B30" s="18" t="s">
        <v>437</v>
      </c>
      <c r="C30" s="19">
        <v>34961</v>
      </c>
      <c r="D30" s="18" t="s">
        <v>438</v>
      </c>
      <c r="E30" s="19">
        <v>34701</v>
      </c>
    </row>
    <row r="31" spans="1:5" ht="13.5" thickBot="1" x14ac:dyDescent="0.25">
      <c r="A31" s="17">
        <v>1994</v>
      </c>
      <c r="B31" s="18" t="s">
        <v>439</v>
      </c>
      <c r="C31" s="19">
        <v>34590</v>
      </c>
      <c r="D31" s="18" t="s">
        <v>440</v>
      </c>
      <c r="E31" s="19">
        <v>34589</v>
      </c>
    </row>
    <row r="32" spans="1:5" ht="13.5" thickBot="1" x14ac:dyDescent="0.25">
      <c r="A32" s="17">
        <v>1993</v>
      </c>
      <c r="B32" s="18" t="s">
        <v>441</v>
      </c>
      <c r="C32" s="19">
        <v>34333</v>
      </c>
      <c r="D32" s="18" t="s">
        <v>442</v>
      </c>
      <c r="E32" s="19">
        <v>34255</v>
      </c>
    </row>
    <row r="33" spans="1:5" ht="13.5" thickBot="1" x14ac:dyDescent="0.25">
      <c r="A33" s="17">
        <v>1992</v>
      </c>
      <c r="B33" s="18" t="s">
        <v>443</v>
      </c>
      <c r="C33" s="19">
        <v>33968</v>
      </c>
      <c r="D33" s="18" t="s">
        <v>444</v>
      </c>
      <c r="E33" s="19">
        <v>33716</v>
      </c>
    </row>
    <row r="34" spans="1:5" ht="13.5" thickBot="1" x14ac:dyDescent="0.25">
      <c r="A34" s="17">
        <v>1991</v>
      </c>
      <c r="B34" s="18" t="s">
        <v>445</v>
      </c>
      <c r="C34" s="19">
        <v>33602</v>
      </c>
      <c r="D34" s="18" t="s">
        <v>446</v>
      </c>
      <c r="E34" s="19">
        <v>33493</v>
      </c>
    </row>
    <row r="35" spans="1:5" ht="13.5" thickBot="1" x14ac:dyDescent="0.25">
      <c r="A35" s="17">
        <v>1990</v>
      </c>
      <c r="B35" s="18" t="s">
        <v>447</v>
      </c>
      <c r="C35" s="19">
        <v>33087</v>
      </c>
      <c r="D35" s="18" t="s">
        <v>448</v>
      </c>
      <c r="E35" s="19">
        <v>32916</v>
      </c>
    </row>
    <row r="36" spans="1:5" ht="13.5" thickBot="1" x14ac:dyDescent="0.25">
      <c r="A36" s="17">
        <v>1989</v>
      </c>
      <c r="B36" s="18" t="s">
        <v>449</v>
      </c>
      <c r="C36" s="19">
        <v>32869</v>
      </c>
      <c r="D36" s="18" t="s">
        <v>450</v>
      </c>
      <c r="E36" s="19">
        <v>32624</v>
      </c>
    </row>
    <row r="37" spans="1:5" ht="13.5" thickBot="1" x14ac:dyDescent="0.25">
      <c r="A37" s="17">
        <v>1988</v>
      </c>
      <c r="B37" s="18" t="s">
        <v>451</v>
      </c>
      <c r="C37" s="19">
        <v>32506</v>
      </c>
      <c r="D37" s="18" t="s">
        <v>452</v>
      </c>
      <c r="E37" s="19">
        <v>32456</v>
      </c>
    </row>
    <row r="38" spans="1:5" ht="13.5" thickBot="1" x14ac:dyDescent="0.25">
      <c r="A38" s="17">
        <v>1987</v>
      </c>
      <c r="B38" s="18" t="s">
        <v>453</v>
      </c>
      <c r="C38" s="19">
        <v>32066</v>
      </c>
      <c r="D38" s="18" t="s">
        <v>454</v>
      </c>
      <c r="E38" s="19">
        <v>31779</v>
      </c>
    </row>
    <row r="39" spans="1:5" ht="13.5" thickBot="1" x14ac:dyDescent="0.25">
      <c r="A39" s="17">
        <v>1986</v>
      </c>
      <c r="B39" s="18" t="s">
        <v>455</v>
      </c>
      <c r="C39" s="19">
        <v>31527</v>
      </c>
      <c r="D39" s="18" t="s">
        <v>456</v>
      </c>
      <c r="E39" s="19">
        <v>31527</v>
      </c>
    </row>
    <row r="40" spans="1:5" ht="13.5" thickBot="1" x14ac:dyDescent="0.25">
      <c r="A40" s="17">
        <v>1985</v>
      </c>
      <c r="B40" s="18" t="s">
        <v>457</v>
      </c>
      <c r="C40" s="19">
        <v>31365</v>
      </c>
      <c r="D40" s="18" t="s">
        <v>458</v>
      </c>
      <c r="E40" s="19">
        <v>31365</v>
      </c>
    </row>
    <row r="41" spans="1:5" ht="13.5" thickBot="1" x14ac:dyDescent="0.25">
      <c r="A41" s="17">
        <v>1984</v>
      </c>
      <c r="B41" s="18" t="s">
        <v>459</v>
      </c>
      <c r="C41" s="19">
        <v>31044</v>
      </c>
      <c r="D41" s="18" t="s">
        <v>460</v>
      </c>
      <c r="E41" s="19">
        <v>31043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ibov201709</vt:lpstr>
      <vt:lpstr>ibov201809</vt:lpstr>
      <vt:lpstr>ibov201909</vt:lpstr>
      <vt:lpstr>ibov202009</vt:lpstr>
      <vt:lpstr>ibov202109</vt:lpstr>
      <vt:lpstr>ibov202209</vt:lpstr>
      <vt:lpstr>ibov202309</vt:lpstr>
      <vt:lpstr>ibov202409</vt:lpstr>
      <vt:lpstr>Planilha1</vt:lpstr>
      <vt:lpstr>ibov202509</vt:lpstr>
      <vt:lpstr>ibov202601</vt:lpstr>
      <vt:lpstr>ibov202602</vt:lpstr>
      <vt:lpstr>ibov2026v2</vt:lpstr>
      <vt:lpstr>ibov2026v3</vt:lpstr>
      <vt:lpstr>ibov2026v4</vt:lpstr>
      <vt:lpstr>ibov2026v5x24</vt:lpstr>
      <vt:lpstr>analise2025-09</vt:lpstr>
      <vt:lpstr>analiseComunsATodosAnos</vt:lpstr>
      <vt:lpstr>ibov-Fecham-menores</vt:lpstr>
      <vt:lpstr>ibov-Fecham-maiores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Luis T. Ferreira</dc:creator>
  <cp:lastModifiedBy>Mario Luis T. Ferreira</cp:lastModifiedBy>
  <dcterms:created xsi:type="dcterms:W3CDTF">2026-02-09T20:33:28Z</dcterms:created>
  <dcterms:modified xsi:type="dcterms:W3CDTF">2026-03-04T15:01:08Z</dcterms:modified>
</cp:coreProperties>
</file>